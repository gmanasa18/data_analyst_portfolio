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https://d.docs.live.net/14595a357ed3f75a/Desktop/"/>
    </mc:Choice>
  </mc:AlternateContent>
  <xr:revisionPtr revIDLastSave="550" documentId="11_F25DC773A252ABDACC10480DA19F50885BDE58EE" xr6:coauthVersionLast="47" xr6:coauthVersionMax="47" xr10:uidLastSave="{2D2E4F67-03BC-4A81-8072-C1B44C74D29B}"/>
  <bookViews>
    <workbookView xWindow="-108" yWindow="-108" windowWidth="23256" windowHeight="12456" tabRatio="946" activeTab="5" xr2:uid="{00000000-000D-0000-FFFF-FFFF00000000}"/>
  </bookViews>
  <sheets>
    <sheet name="EXPENSEDATA" sheetId="1" r:id="rId1"/>
    <sheet name="PT_CATEGORY" sheetId="2" r:id="rId2"/>
    <sheet name="PT_MONTHLY" sheetId="3" r:id="rId3"/>
    <sheet name="PT_PAYMENT MODE " sheetId="4" r:id="rId4"/>
    <sheet name="PT_Subcategory" sheetId="5" r:id="rId5"/>
    <sheet name="DASHBOARD" sheetId="6" r:id="rId6"/>
  </sheets>
  <definedNames>
    <definedName name="Slicer_Category">#N/A</definedName>
    <definedName name="Slicer_DATE">#N/A</definedName>
    <definedName name="Slicer_Months__DATE">#N/A</definedName>
    <definedName name="Slicer_Payment_Mode">#N/A</definedName>
    <definedName name="Slicer_Sub_Category">#N/A</definedName>
  </definedNames>
  <calcPr calcId="191029"/>
  <pivotCaches>
    <pivotCache cacheId="1" r:id="rId7"/>
  </pivotCaches>
  <extLst>
    <ext xmlns:x14="http://schemas.microsoft.com/office/spreadsheetml/2009/9/main" uri="{BBE1A952-AA13-448e-AADC-164F8A28A991}">
      <x14:slicerCaches>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6" i="6" l="1"/>
  <c r="H6" i="6"/>
  <c r="E6" i="6"/>
  <c r="B6" i="6"/>
  <c r="J8" i="1"/>
</calcChain>
</file>

<file path=xl/sharedStrings.xml><?xml version="1.0" encoding="utf-8"?>
<sst xmlns="http://schemas.openxmlformats.org/spreadsheetml/2006/main" count="552" uniqueCount="82">
  <si>
    <t>ID</t>
  </si>
  <si>
    <t>Category</t>
  </si>
  <si>
    <t>Sub-Category</t>
  </si>
  <si>
    <t>Payment Mode</t>
  </si>
  <si>
    <t>Description</t>
  </si>
  <si>
    <t>Amount</t>
  </si>
  <si>
    <t>Location</t>
  </si>
  <si>
    <t>Food</t>
  </si>
  <si>
    <t>Groceries</t>
  </si>
  <si>
    <t>UPI</t>
  </si>
  <si>
    <t>Monthly groceries</t>
  </si>
  <si>
    <t>Hyderabad</t>
  </si>
  <si>
    <t>Transport</t>
  </si>
  <si>
    <t>Fuel</t>
  </si>
  <si>
    <t>Cash</t>
  </si>
  <si>
    <t>Petrol</t>
  </si>
  <si>
    <t>Restaurant</t>
  </si>
  <si>
    <t>Dinner</t>
  </si>
  <si>
    <t>Bills</t>
  </si>
  <si>
    <t>Electricity</t>
  </si>
  <si>
    <t>Electricity bill</t>
  </si>
  <si>
    <t>Shopping</t>
  </si>
  <si>
    <t>Clothing</t>
  </si>
  <si>
    <t>Card</t>
  </si>
  <si>
    <t>Clothes</t>
  </si>
  <si>
    <t>Entertainment</t>
  </si>
  <si>
    <t>Movies</t>
  </si>
  <si>
    <t>Movie tickets</t>
  </si>
  <si>
    <t>Health</t>
  </si>
  <si>
    <t>Medicine</t>
  </si>
  <si>
    <t>Medicines</t>
  </si>
  <si>
    <t>Education</t>
  </si>
  <si>
    <t>Course</t>
  </si>
  <si>
    <t>Online course</t>
  </si>
  <si>
    <t>Cab</t>
  </si>
  <si>
    <t>Cab fare</t>
  </si>
  <si>
    <t>Lunch</t>
  </si>
  <si>
    <t>Internet</t>
  </si>
  <si>
    <t>Internet bill</t>
  </si>
  <si>
    <t>Electronics</t>
  </si>
  <si>
    <t>Earphones</t>
  </si>
  <si>
    <t>Vegetables</t>
  </si>
  <si>
    <t>Gaming</t>
  </si>
  <si>
    <t>Game subscription</t>
  </si>
  <si>
    <t>Doctor</t>
  </si>
  <si>
    <t>Consultation</t>
  </si>
  <si>
    <t>Books</t>
  </si>
  <si>
    <t>Bus</t>
  </si>
  <si>
    <t>Bus pass</t>
  </si>
  <si>
    <t>Shoes</t>
  </si>
  <si>
    <t>Movie</t>
  </si>
  <si>
    <t>Certification</t>
  </si>
  <si>
    <t>Keyboard</t>
  </si>
  <si>
    <t>Mobile</t>
  </si>
  <si>
    <t>Mobile recharge</t>
  </si>
  <si>
    <t>Jacket</t>
  </si>
  <si>
    <t>Doctor visit</t>
  </si>
  <si>
    <t>Study books</t>
  </si>
  <si>
    <t>Fruits</t>
  </si>
  <si>
    <t>Mouse</t>
  </si>
  <si>
    <t>Course fee</t>
  </si>
  <si>
    <t>T-shirt</t>
  </si>
  <si>
    <t>Recharge</t>
  </si>
  <si>
    <t>Smartwatch</t>
  </si>
  <si>
    <t>Game</t>
  </si>
  <si>
    <t>Jeans</t>
  </si>
  <si>
    <t>Checkup</t>
  </si>
  <si>
    <t>Headphones</t>
  </si>
  <si>
    <t>Training</t>
  </si>
  <si>
    <t>Subscription</t>
  </si>
  <si>
    <t>Shirt</t>
  </si>
  <si>
    <t>Power bank</t>
  </si>
  <si>
    <t>DATE</t>
  </si>
  <si>
    <t>TOTAL AMOUNT</t>
  </si>
  <si>
    <t>Row Labels</t>
  </si>
  <si>
    <t>Grand Total</t>
  </si>
  <si>
    <t>Sum of Amount</t>
  </si>
  <si>
    <t>Jan</t>
  </si>
  <si>
    <t>Feb</t>
  </si>
  <si>
    <t>Mar</t>
  </si>
  <si>
    <t>Apr</t>
  </si>
  <si>
    <t>EXPENSE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</si>
</sst>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1"/>
      <name val="Calibri"/>
      <family val="2"/>
      <scheme val="minor"/>
    </font>
    <font>
      <sz val="11"/>
      <color theme="5"/>
      <name val="Calibri"/>
      <family val="2"/>
      <scheme val="minor"/>
    </font>
    <font>
      <sz val="20"/>
      <color theme="1"/>
      <name val="Calibri"/>
      <family val="2"/>
      <scheme val="minor"/>
    </font>
    <font>
      <sz val="11"/>
      <color theme="3"/>
      <name val="Calibri"/>
      <family val="2"/>
      <scheme val="minor"/>
    </font>
    <font>
      <sz val="36"/>
      <color theme="1"/>
      <name val="Calibri"/>
      <family val="2"/>
      <scheme val="minor"/>
    </font>
    <font>
      <b/>
      <sz val="36"/>
      <color rgb="FF00B050"/>
      <name val="Calibri"/>
      <family val="2"/>
      <scheme val="minor"/>
    </font>
    <font>
      <sz val="36"/>
      <color rgb="FF00B050"/>
      <name val="Calibri"/>
      <family val="2"/>
      <scheme val="minor"/>
    </font>
    <font>
      <b/>
      <sz val="20"/>
      <color theme="1"/>
      <name val="Calibri"/>
      <family val="2"/>
      <scheme val="minor"/>
    </font>
    <font>
      <b/>
      <sz val="22"/>
      <color theme="1"/>
      <name val="Calibri"/>
      <family val="2"/>
      <scheme val="minor"/>
    </font>
    <font>
      <b/>
      <sz val="12"/>
      <color theme="9"/>
      <name val="Calibri"/>
      <family val="2"/>
      <scheme val="minor"/>
    </font>
    <font>
      <sz val="12"/>
      <color theme="1"/>
      <name val="Calibri"/>
      <family val="2"/>
      <scheme val="minor"/>
    </font>
  </fonts>
  <fills count="4">
    <fill>
      <patternFill patternType="none"/>
    </fill>
    <fill>
      <patternFill patternType="gray125"/>
    </fill>
    <fill>
      <patternFill patternType="solid">
        <fgColor theme="3"/>
        <bgColor indexed="64"/>
      </patternFill>
    </fill>
    <fill>
      <patternFill patternType="solid">
        <fgColor theme="0"/>
        <bgColor indexed="64"/>
      </patternFill>
    </fill>
  </fills>
  <borders count="1">
    <border>
      <left/>
      <right/>
      <top/>
      <bottom/>
      <diagonal/>
    </border>
  </borders>
  <cellStyleXfs count="1">
    <xf numFmtId="0" fontId="0" fillId="0" borderId="0"/>
  </cellStyleXfs>
  <cellXfs count="22">
    <xf numFmtId="0" fontId="0" fillId="0" borderId="0" xfId="0"/>
    <xf numFmtId="0" fontId="0" fillId="0" borderId="0" xfId="0" applyAlignment="1">
      <alignment horizontal="right" vertical="center" wrapText="1"/>
    </xf>
    <xf numFmtId="0" fontId="1" fillId="0" borderId="0" xfId="0" applyFont="1" applyAlignment="1">
      <alignment horizontal="right" vertical="center" wrapText="1"/>
    </xf>
    <xf numFmtId="0" fontId="1" fillId="0" borderId="0" xfId="0" applyFont="1" applyAlignment="1">
      <alignment horizontal="center" vertical="center" wrapText="1"/>
    </xf>
    <xf numFmtId="14" fontId="0" fillId="0" borderId="0" xfId="0" applyNumberFormat="1" applyAlignment="1">
      <alignment vertical="center" wrapText="1"/>
    </xf>
    <xf numFmtId="0" fontId="0" fillId="0" borderId="0" xfId="0" applyAlignment="1">
      <alignment vertical="center" wrapText="1"/>
    </xf>
    <xf numFmtId="0" fontId="0" fillId="0" borderId="0" xfId="0" pivotButton="1"/>
    <xf numFmtId="0" fontId="0" fillId="0" borderId="0" xfId="0" applyAlignment="1">
      <alignment horizontal="left"/>
    </xf>
    <xf numFmtId="0" fontId="0" fillId="2" borderId="0" xfId="0" applyFill="1"/>
    <xf numFmtId="0" fontId="2" fillId="2" borderId="0" xfId="0" applyFont="1" applyFill="1"/>
    <xf numFmtId="0" fontId="3" fillId="2" borderId="0" xfId="0" applyFont="1" applyFill="1"/>
    <xf numFmtId="0" fontId="0" fillId="3" borderId="0" xfId="0" applyFill="1"/>
    <xf numFmtId="0" fontId="5" fillId="2" borderId="0" xfId="0" applyFont="1" applyFill="1"/>
    <xf numFmtId="0" fontId="6" fillId="2" borderId="0" xfId="0" applyFont="1" applyFill="1"/>
    <xf numFmtId="0" fontId="7" fillId="2" borderId="0" xfId="0" applyFont="1" applyFill="1"/>
    <xf numFmtId="0" fontId="4" fillId="3" borderId="0" xfId="0" applyFont="1" applyFill="1"/>
    <xf numFmtId="0" fontId="8" fillId="3" borderId="0" xfId="0" applyFont="1" applyFill="1"/>
    <xf numFmtId="0" fontId="8" fillId="0" borderId="0" xfId="0" applyFont="1"/>
    <xf numFmtId="0" fontId="9" fillId="0" borderId="0" xfId="0" applyFont="1"/>
    <xf numFmtId="0" fontId="0" fillId="0" borderId="0" xfId="0" applyNumberFormat="1"/>
    <xf numFmtId="0" fontId="10" fillId="2" borderId="0" xfId="0" applyFont="1" applyFill="1"/>
    <xf numFmtId="0" fontId="11" fillId="2" borderId="0" xfId="0" applyFont="1" applyFill="1"/>
  </cellXfs>
  <cellStyles count="1">
    <cellStyle name="Normal" xfId="0" builtinId="0"/>
  </cellStyles>
  <dxfs count="10">
    <dxf>
      <alignment horizontal="general" vertical="center" textRotation="0" wrapText="1" indent="0" justifyLastLine="0" shrinkToFit="0" readingOrder="0"/>
    </dxf>
    <dxf>
      <alignment horizontal="right"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9" formatCode="dd/mm/yyyy"/>
      <alignment horizontal="general" vertical="center" textRotation="0" wrapText="1" indent="0" justifyLastLine="0" shrinkToFit="0" readingOrder="0"/>
    </dxf>
    <dxf>
      <alignment horizontal="right"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 anaysis.xlsx]PT_CATEGORY!PivotTable1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EXPENSE BY CATEGORY</a:t>
            </a:r>
          </a:p>
        </c:rich>
      </c:tx>
      <c:layout>
        <c:manualLayout>
          <c:xMode val="edge"/>
          <c:yMode val="edge"/>
          <c:x val="0.35333333333333333"/>
          <c:y val="9.16116828679997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78329722207542"/>
          <c:y val="0.29981053888534204"/>
          <c:w val="0.79741425778153574"/>
          <c:h val="0.49581382563666027"/>
        </c:manualLayout>
      </c:layout>
      <c:barChart>
        <c:barDir val="col"/>
        <c:grouping val="clustered"/>
        <c:varyColors val="0"/>
        <c:ser>
          <c:idx val="0"/>
          <c:order val="0"/>
          <c:tx>
            <c:strRef>
              <c:f>PT_CATEGORY!$B$3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PT_CATEGORY!$A$4:$A$11</c:f>
              <c:strCache>
                <c:ptCount val="7"/>
                <c:pt idx="0">
                  <c:v>Bills</c:v>
                </c:pt>
                <c:pt idx="1">
                  <c:v>Education</c:v>
                </c:pt>
                <c:pt idx="2">
                  <c:v>Entertainment</c:v>
                </c:pt>
                <c:pt idx="3">
                  <c:v>Food</c:v>
                </c:pt>
                <c:pt idx="4">
                  <c:v>Health</c:v>
                </c:pt>
                <c:pt idx="5">
                  <c:v>Shopping</c:v>
                </c:pt>
                <c:pt idx="6">
                  <c:v>Transport</c:v>
                </c:pt>
              </c:strCache>
            </c:strRef>
          </c:cat>
          <c:val>
            <c:numRef>
              <c:f>PT_CATEGORY!$B$4:$B$11</c:f>
              <c:numCache>
                <c:formatCode>General</c:formatCode>
                <c:ptCount val="7"/>
                <c:pt idx="0">
                  <c:v>17441</c:v>
                </c:pt>
                <c:pt idx="1">
                  <c:v>14799</c:v>
                </c:pt>
                <c:pt idx="2">
                  <c:v>6147</c:v>
                </c:pt>
                <c:pt idx="3">
                  <c:v>32870</c:v>
                </c:pt>
                <c:pt idx="4">
                  <c:v>8520</c:v>
                </c:pt>
                <c:pt idx="5">
                  <c:v>24150</c:v>
                </c:pt>
                <c:pt idx="6">
                  <c:v>15690</c:v>
                </c:pt>
              </c:numCache>
            </c:numRef>
          </c:val>
          <c:extLst>
            <c:ext xmlns:c16="http://schemas.microsoft.com/office/drawing/2014/chart" uri="{C3380CC4-5D6E-409C-BE32-E72D297353CC}">
              <c16:uniqueId val="{00000000-8B61-4080-B50A-AB17D4D91A5D}"/>
            </c:ext>
          </c:extLst>
        </c:ser>
        <c:dLbls>
          <c:dLblPos val="inEnd"/>
          <c:showLegendKey val="0"/>
          <c:showVal val="1"/>
          <c:showCatName val="0"/>
          <c:showSerName val="0"/>
          <c:showPercent val="0"/>
          <c:showBubbleSize val="0"/>
        </c:dLbls>
        <c:gapWidth val="219"/>
        <c:overlap val="-27"/>
        <c:axId val="985096368"/>
        <c:axId val="978663152"/>
      </c:barChart>
      <c:catAx>
        <c:axId val="98509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663152"/>
        <c:crosses val="autoZero"/>
        <c:auto val="1"/>
        <c:lblAlgn val="ctr"/>
        <c:lblOffset val="100"/>
        <c:noMultiLvlLbl val="0"/>
      </c:catAx>
      <c:valAx>
        <c:axId val="978663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5096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 anaysis.xlsx]PT_MONTHLY!PivotTable2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MONTHLY</a:t>
            </a:r>
            <a:r>
              <a:rPr lang="en-IN" sz="1600" b="1" baseline="0"/>
              <a:t> EXPENSE TREND</a:t>
            </a:r>
            <a:endParaRPr lang="en-IN"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PT_MONTHLY!$B$3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PT_MONTHLY!$A$4:$A$8</c:f>
              <c:strCache>
                <c:ptCount val="4"/>
                <c:pt idx="0">
                  <c:v>Jan</c:v>
                </c:pt>
                <c:pt idx="1">
                  <c:v>Feb</c:v>
                </c:pt>
                <c:pt idx="2">
                  <c:v>Mar</c:v>
                </c:pt>
                <c:pt idx="3">
                  <c:v>Apr</c:v>
                </c:pt>
              </c:strCache>
            </c:strRef>
          </c:cat>
          <c:val>
            <c:numRef>
              <c:f>PT_MONTHLY!$B$4:$B$8</c:f>
              <c:numCache>
                <c:formatCode>General</c:formatCode>
                <c:ptCount val="4"/>
                <c:pt idx="0">
                  <c:v>33696</c:v>
                </c:pt>
                <c:pt idx="1">
                  <c:v>33218</c:v>
                </c:pt>
                <c:pt idx="2">
                  <c:v>40164</c:v>
                </c:pt>
                <c:pt idx="3">
                  <c:v>12539</c:v>
                </c:pt>
              </c:numCache>
            </c:numRef>
          </c:val>
          <c:smooth val="0"/>
          <c:extLst>
            <c:ext xmlns:c16="http://schemas.microsoft.com/office/drawing/2014/chart" uri="{C3380CC4-5D6E-409C-BE32-E72D297353CC}">
              <c16:uniqueId val="{00000000-7083-4012-AEE4-477D63A0739B}"/>
            </c:ext>
          </c:extLst>
        </c:ser>
        <c:dLbls>
          <c:dLblPos val="t"/>
          <c:showLegendKey val="0"/>
          <c:showVal val="1"/>
          <c:showCatName val="0"/>
          <c:showSerName val="0"/>
          <c:showPercent val="0"/>
          <c:showBubbleSize val="0"/>
        </c:dLbls>
        <c:smooth val="0"/>
        <c:axId val="982236976"/>
        <c:axId val="978686192"/>
      </c:lineChart>
      <c:catAx>
        <c:axId val="982236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686192"/>
        <c:crosses val="autoZero"/>
        <c:auto val="1"/>
        <c:lblAlgn val="ctr"/>
        <c:lblOffset val="100"/>
        <c:noMultiLvlLbl val="0"/>
      </c:catAx>
      <c:valAx>
        <c:axId val="978686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236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 anaysis.xlsx]PT_PAYMENT MODE !PivotTable3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EXPENSE</a:t>
            </a:r>
            <a:r>
              <a:rPr lang="en-IN" b="1" baseline="0"/>
              <a:t>  BY PAYMENT MODE</a:t>
            </a:r>
            <a:endParaRPr lang="en-IN" b="1"/>
          </a:p>
        </c:rich>
      </c:tx>
      <c:layout>
        <c:manualLayout>
          <c:xMode val="edge"/>
          <c:yMode val="edge"/>
          <c:x val="0.27523437499999998"/>
          <c:y val="0.1037966184459500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'PT_PAYMENT MODE '!$B$3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03D-4778-A6C2-475C7E573F6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03D-4778-A6C2-475C7E573F6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03D-4778-A6C2-475C7E573F6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'PT_PAYMENT MODE '!$A$4:$A$7</c:f>
              <c:strCache>
                <c:ptCount val="3"/>
                <c:pt idx="0">
                  <c:v>Card</c:v>
                </c:pt>
                <c:pt idx="1">
                  <c:v>Cash</c:v>
                </c:pt>
                <c:pt idx="2">
                  <c:v>UPI</c:v>
                </c:pt>
              </c:strCache>
            </c:strRef>
          </c:cat>
          <c:val>
            <c:numRef>
              <c:f>'PT_PAYMENT MODE '!$B$4:$B$7</c:f>
              <c:numCache>
                <c:formatCode>General</c:formatCode>
                <c:ptCount val="3"/>
                <c:pt idx="0">
                  <c:v>38200</c:v>
                </c:pt>
                <c:pt idx="1">
                  <c:v>14200</c:v>
                </c:pt>
                <c:pt idx="2">
                  <c:v>67217</c:v>
                </c:pt>
              </c:numCache>
            </c:numRef>
          </c:val>
          <c:extLst>
            <c:ext xmlns:c16="http://schemas.microsoft.com/office/drawing/2014/chart" uri="{C3380CC4-5D6E-409C-BE32-E72D297353CC}">
              <c16:uniqueId val="{00000006-E03D-4778-A6C2-475C7E573F6E}"/>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 anaysis.xlsx]PT_Subcategory!PivotTable4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Expense by sub-category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497658974184424"/>
          <c:y val="0.23462088569986772"/>
          <c:w val="0.54421002670055296"/>
          <c:h val="0.69636786016082464"/>
        </c:manualLayout>
      </c:layout>
      <c:barChart>
        <c:barDir val="bar"/>
        <c:grouping val="clustered"/>
        <c:varyColors val="0"/>
        <c:ser>
          <c:idx val="0"/>
          <c:order val="0"/>
          <c:tx>
            <c:strRef>
              <c:f>PT_Subcategory!$B$3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PT_Subcategory!$A$4:$A$20</c:f>
              <c:strCache>
                <c:ptCount val="16"/>
                <c:pt idx="0">
                  <c:v>Books</c:v>
                </c:pt>
                <c:pt idx="1">
                  <c:v>Bus</c:v>
                </c:pt>
                <c:pt idx="2">
                  <c:v>Cab</c:v>
                </c:pt>
                <c:pt idx="3">
                  <c:v>Clothing</c:v>
                </c:pt>
                <c:pt idx="4">
                  <c:v>Course</c:v>
                </c:pt>
                <c:pt idx="5">
                  <c:v>Doctor</c:v>
                </c:pt>
                <c:pt idx="6">
                  <c:v>Electricity</c:v>
                </c:pt>
                <c:pt idx="7">
                  <c:v>Electronics</c:v>
                </c:pt>
                <c:pt idx="8">
                  <c:v>Fuel</c:v>
                </c:pt>
                <c:pt idx="9">
                  <c:v>Gaming</c:v>
                </c:pt>
                <c:pt idx="10">
                  <c:v>Groceries</c:v>
                </c:pt>
                <c:pt idx="11">
                  <c:v>Internet</c:v>
                </c:pt>
                <c:pt idx="12">
                  <c:v>Medicine</c:v>
                </c:pt>
                <c:pt idx="13">
                  <c:v>Mobile</c:v>
                </c:pt>
                <c:pt idx="14">
                  <c:v>Movies</c:v>
                </c:pt>
                <c:pt idx="15">
                  <c:v>Restaurant</c:v>
                </c:pt>
              </c:strCache>
            </c:strRef>
          </c:cat>
          <c:val>
            <c:numRef>
              <c:f>PT_Subcategory!$B$4:$B$20</c:f>
              <c:numCache>
                <c:formatCode>General</c:formatCode>
                <c:ptCount val="16"/>
                <c:pt idx="0">
                  <c:v>5550</c:v>
                </c:pt>
                <c:pt idx="1">
                  <c:v>1800</c:v>
                </c:pt>
                <c:pt idx="2">
                  <c:v>2690</c:v>
                </c:pt>
                <c:pt idx="3">
                  <c:v>12600</c:v>
                </c:pt>
                <c:pt idx="4">
                  <c:v>9249</c:v>
                </c:pt>
                <c:pt idx="5">
                  <c:v>4750</c:v>
                </c:pt>
                <c:pt idx="6">
                  <c:v>11250</c:v>
                </c:pt>
                <c:pt idx="7">
                  <c:v>11550</c:v>
                </c:pt>
                <c:pt idx="8">
                  <c:v>11200</c:v>
                </c:pt>
                <c:pt idx="9">
                  <c:v>2547</c:v>
                </c:pt>
                <c:pt idx="10">
                  <c:v>24650</c:v>
                </c:pt>
                <c:pt idx="11">
                  <c:v>3995</c:v>
                </c:pt>
                <c:pt idx="12">
                  <c:v>3770</c:v>
                </c:pt>
                <c:pt idx="13">
                  <c:v>2196</c:v>
                </c:pt>
                <c:pt idx="14">
                  <c:v>3600</c:v>
                </c:pt>
                <c:pt idx="15">
                  <c:v>8220</c:v>
                </c:pt>
              </c:numCache>
            </c:numRef>
          </c:val>
          <c:extLst>
            <c:ext xmlns:c16="http://schemas.microsoft.com/office/drawing/2014/chart" uri="{C3380CC4-5D6E-409C-BE32-E72D297353CC}">
              <c16:uniqueId val="{00000000-5904-4B21-912A-CF60A1BCE3FE}"/>
            </c:ext>
          </c:extLst>
        </c:ser>
        <c:dLbls>
          <c:dLblPos val="outEnd"/>
          <c:showLegendKey val="0"/>
          <c:showVal val="1"/>
          <c:showCatName val="0"/>
          <c:showSerName val="0"/>
          <c:showPercent val="0"/>
          <c:showBubbleSize val="0"/>
        </c:dLbls>
        <c:gapWidth val="182"/>
        <c:axId val="1211965296"/>
        <c:axId val="978682832"/>
      </c:barChart>
      <c:catAx>
        <c:axId val="1211965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682832"/>
        <c:crosses val="autoZero"/>
        <c:auto val="1"/>
        <c:lblAlgn val="ctr"/>
        <c:lblOffset val="100"/>
        <c:noMultiLvlLbl val="0"/>
      </c:catAx>
      <c:valAx>
        <c:axId val="9786828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965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3</xdr:col>
      <xdr:colOff>449580</xdr:colOff>
      <xdr:row>12</xdr:row>
      <xdr:rowOff>0</xdr:rowOff>
    </xdr:from>
    <xdr:ext cx="1920240" cy="45719"/>
    <xdr:sp macro="" textlink="">
      <xdr:nvSpPr>
        <xdr:cNvPr id="4" name="TextBox 3">
          <a:extLst>
            <a:ext uri="{FF2B5EF4-FFF2-40B4-BE49-F238E27FC236}">
              <a16:creationId xmlns:a16="http://schemas.microsoft.com/office/drawing/2014/main" id="{47F4D579-94C6-17E5-01E1-FDF2D709C948}"/>
            </a:ext>
          </a:extLst>
        </xdr:cNvPr>
        <xdr:cNvSpPr txBox="1"/>
      </xdr:nvSpPr>
      <xdr:spPr>
        <a:xfrm>
          <a:off x="2278380" y="2598420"/>
          <a:ext cx="1920240" cy="457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1800" b="1">
            <a:solidFill>
              <a:schemeClr val="accent2"/>
            </a:solidFill>
          </a:endParaRPr>
        </a:p>
      </xdr:txBody>
    </xdr:sp>
    <xdr:clientData/>
  </xdr:oneCellAnchor>
  <xdr:twoCellAnchor>
    <xdr:from>
      <xdr:col>0</xdr:col>
      <xdr:colOff>0</xdr:colOff>
      <xdr:row>3</xdr:row>
      <xdr:rowOff>0</xdr:rowOff>
    </xdr:from>
    <xdr:to>
      <xdr:col>2</xdr:col>
      <xdr:colOff>556260</xdr:colOff>
      <xdr:row>5</xdr:row>
      <xdr:rowOff>0</xdr:rowOff>
    </xdr:to>
    <xdr:sp macro="" textlink="">
      <xdr:nvSpPr>
        <xdr:cNvPr id="2" name="Rectangle 1">
          <a:extLst>
            <a:ext uri="{FF2B5EF4-FFF2-40B4-BE49-F238E27FC236}">
              <a16:creationId xmlns:a16="http://schemas.microsoft.com/office/drawing/2014/main" id="{63541E55-CCA1-2783-9187-29CA8C99B8A9}"/>
            </a:ext>
          </a:extLst>
        </xdr:cNvPr>
        <xdr:cNvSpPr/>
      </xdr:nvSpPr>
      <xdr:spPr>
        <a:xfrm>
          <a:off x="0" y="952500"/>
          <a:ext cx="2042160" cy="365760"/>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cap="none" spc="0">
              <a:ln w="0"/>
              <a:solidFill>
                <a:schemeClr val="accent2"/>
              </a:solidFill>
              <a:effectLst>
                <a:outerShdw blurRad="38100" dist="25400" dir="5400000" algn="ctr" rotWithShape="0">
                  <a:srgbClr val="6E747A">
                    <a:alpha val="43000"/>
                  </a:srgbClr>
                </a:outerShdw>
              </a:effectLst>
            </a:rPr>
            <a:t>TOTAL EXPENSE</a:t>
          </a:r>
        </a:p>
      </xdr:txBody>
    </xdr:sp>
    <xdr:clientData/>
  </xdr:twoCellAnchor>
  <xdr:twoCellAnchor>
    <xdr:from>
      <xdr:col>2</xdr:col>
      <xdr:colOff>571500</xdr:colOff>
      <xdr:row>3</xdr:row>
      <xdr:rowOff>7620</xdr:rowOff>
    </xdr:from>
    <xdr:to>
      <xdr:col>6</xdr:col>
      <xdr:colOff>358140</xdr:colOff>
      <xdr:row>5</xdr:row>
      <xdr:rowOff>7620</xdr:rowOff>
    </xdr:to>
    <xdr:sp macro="" textlink="">
      <xdr:nvSpPr>
        <xdr:cNvPr id="7" name="Rectangle 6">
          <a:extLst>
            <a:ext uri="{FF2B5EF4-FFF2-40B4-BE49-F238E27FC236}">
              <a16:creationId xmlns:a16="http://schemas.microsoft.com/office/drawing/2014/main" id="{E532D28E-9B19-49FC-9B6D-38E063692BA8}"/>
            </a:ext>
          </a:extLst>
        </xdr:cNvPr>
        <xdr:cNvSpPr/>
      </xdr:nvSpPr>
      <xdr:spPr>
        <a:xfrm>
          <a:off x="2057400" y="975360"/>
          <a:ext cx="2613660" cy="365760"/>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cap="none" spc="0">
              <a:ln w="0"/>
              <a:solidFill>
                <a:schemeClr val="accent2"/>
              </a:solidFill>
              <a:effectLst>
                <a:outerShdw blurRad="38100" dist="25400" dir="5400000" algn="ctr" rotWithShape="0">
                  <a:srgbClr val="6E747A">
                    <a:alpha val="43000"/>
                  </a:srgbClr>
                </a:outerShdw>
              </a:effectLst>
            </a:rPr>
            <a:t>AVERAGE</a:t>
          </a:r>
          <a:r>
            <a:rPr lang="en-IN" sz="1800" b="1" cap="none" spc="0" baseline="0">
              <a:ln w="0"/>
              <a:solidFill>
                <a:schemeClr val="accent2"/>
              </a:solidFill>
              <a:effectLst>
                <a:outerShdw blurRad="38100" dist="25400" dir="5400000" algn="ctr" rotWithShape="0">
                  <a:srgbClr val="6E747A">
                    <a:alpha val="43000"/>
                  </a:srgbClr>
                </a:outerShdw>
              </a:effectLst>
            </a:rPr>
            <a:t> EXPENSE</a:t>
          </a:r>
          <a:endParaRPr lang="en-IN" sz="1800" b="1" cap="none" spc="0">
            <a:ln w="0"/>
            <a:solidFill>
              <a:schemeClr val="accent2"/>
            </a:solidFill>
            <a:effectLst>
              <a:outerShdw blurRad="38100" dist="25400" dir="5400000" algn="ctr" rotWithShape="0">
                <a:srgbClr val="6E747A">
                  <a:alpha val="43000"/>
                </a:srgbClr>
              </a:outerShdw>
            </a:effectLst>
          </a:endParaRPr>
        </a:p>
      </xdr:txBody>
    </xdr:sp>
    <xdr:clientData/>
  </xdr:twoCellAnchor>
  <xdr:twoCellAnchor>
    <xdr:from>
      <xdr:col>6</xdr:col>
      <xdr:colOff>358140</xdr:colOff>
      <xdr:row>2</xdr:row>
      <xdr:rowOff>190500</xdr:rowOff>
    </xdr:from>
    <xdr:to>
      <xdr:col>11</xdr:col>
      <xdr:colOff>68580</xdr:colOff>
      <xdr:row>5</xdr:row>
      <xdr:rowOff>7620</xdr:rowOff>
    </xdr:to>
    <xdr:sp macro="" textlink="">
      <xdr:nvSpPr>
        <xdr:cNvPr id="8" name="Rectangle 7">
          <a:extLst>
            <a:ext uri="{FF2B5EF4-FFF2-40B4-BE49-F238E27FC236}">
              <a16:creationId xmlns:a16="http://schemas.microsoft.com/office/drawing/2014/main" id="{CDF2EC91-E738-4D40-B645-ACBCCB618115}"/>
            </a:ext>
          </a:extLst>
        </xdr:cNvPr>
        <xdr:cNvSpPr/>
      </xdr:nvSpPr>
      <xdr:spPr>
        <a:xfrm>
          <a:off x="4671060" y="960120"/>
          <a:ext cx="2857500" cy="381000"/>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cap="none" spc="0">
              <a:ln w="0"/>
              <a:solidFill>
                <a:schemeClr val="accent2"/>
              </a:solidFill>
              <a:effectLst>
                <a:outerShdw blurRad="38100" dist="25400" dir="5400000" algn="ctr" rotWithShape="0">
                  <a:srgbClr val="6E747A">
                    <a:alpha val="43000"/>
                  </a:srgbClr>
                </a:outerShdw>
              </a:effectLst>
            </a:rPr>
            <a:t>HIGHEST</a:t>
          </a:r>
          <a:r>
            <a:rPr lang="en-IN" sz="1800" b="1" cap="none" spc="0" baseline="0">
              <a:ln w="0"/>
              <a:solidFill>
                <a:schemeClr val="accent2"/>
              </a:solidFill>
              <a:effectLst>
                <a:outerShdw blurRad="38100" dist="25400" dir="5400000" algn="ctr" rotWithShape="0">
                  <a:srgbClr val="6E747A">
                    <a:alpha val="43000"/>
                  </a:srgbClr>
                </a:outerShdw>
              </a:effectLst>
            </a:rPr>
            <a:t> EXPENSE</a:t>
          </a:r>
          <a:endParaRPr lang="en-IN" sz="1800" b="1" cap="none" spc="0">
            <a:ln w="0"/>
            <a:solidFill>
              <a:schemeClr val="accent2"/>
            </a:solidFill>
            <a:effectLst>
              <a:outerShdw blurRad="38100" dist="25400" dir="5400000" algn="ctr" rotWithShape="0">
                <a:srgbClr val="6E747A">
                  <a:alpha val="43000"/>
                </a:srgbClr>
              </a:outerShdw>
            </a:effectLst>
          </a:endParaRPr>
        </a:p>
      </xdr:txBody>
    </xdr:sp>
    <xdr:clientData/>
  </xdr:twoCellAnchor>
  <xdr:twoCellAnchor>
    <xdr:from>
      <xdr:col>11</xdr:col>
      <xdr:colOff>83820</xdr:colOff>
      <xdr:row>3</xdr:row>
      <xdr:rowOff>0</xdr:rowOff>
    </xdr:from>
    <xdr:to>
      <xdr:col>16</xdr:col>
      <xdr:colOff>220980</xdr:colOff>
      <xdr:row>4</xdr:row>
      <xdr:rowOff>167640</xdr:rowOff>
    </xdr:to>
    <xdr:sp macro="" textlink="">
      <xdr:nvSpPr>
        <xdr:cNvPr id="10" name="Rectangle 9">
          <a:extLst>
            <a:ext uri="{FF2B5EF4-FFF2-40B4-BE49-F238E27FC236}">
              <a16:creationId xmlns:a16="http://schemas.microsoft.com/office/drawing/2014/main" id="{7C5EC962-9C57-46CD-9B9F-1C1C3522F471}"/>
            </a:ext>
          </a:extLst>
        </xdr:cNvPr>
        <xdr:cNvSpPr/>
      </xdr:nvSpPr>
      <xdr:spPr>
        <a:xfrm>
          <a:off x="7543800" y="952500"/>
          <a:ext cx="3185160" cy="350520"/>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cap="none" spc="0">
              <a:ln w="0"/>
              <a:solidFill>
                <a:schemeClr val="accent2"/>
              </a:solidFill>
              <a:effectLst>
                <a:outerShdw blurRad="38100" dist="25400" dir="5400000" algn="ctr" rotWithShape="0">
                  <a:srgbClr val="6E747A">
                    <a:alpha val="43000"/>
                  </a:srgbClr>
                </a:outerShdw>
              </a:effectLst>
            </a:rPr>
            <a:t>TOTAL</a:t>
          </a:r>
          <a:r>
            <a:rPr lang="en-IN" sz="2000" b="1" cap="none" spc="0" baseline="0">
              <a:ln w="0"/>
              <a:solidFill>
                <a:schemeClr val="accent2"/>
              </a:solidFill>
              <a:effectLst>
                <a:outerShdw blurRad="38100" dist="25400" dir="5400000" algn="ctr" rotWithShape="0">
                  <a:srgbClr val="6E747A">
                    <a:alpha val="43000"/>
                  </a:srgbClr>
                </a:outerShdw>
              </a:effectLst>
            </a:rPr>
            <a:t> TRANSACTIONS</a:t>
          </a:r>
          <a:endParaRPr lang="en-IN" sz="2000" b="1" cap="none" spc="0">
            <a:ln w="0"/>
            <a:solidFill>
              <a:schemeClr val="accent2"/>
            </a:solidFill>
            <a:effectLst>
              <a:outerShdw blurRad="38100" dist="25400" dir="5400000" algn="ctr" rotWithShape="0">
                <a:srgbClr val="6E747A">
                  <a:alpha val="43000"/>
                </a:srgbClr>
              </a:outerShdw>
            </a:effectLst>
          </a:endParaRPr>
        </a:p>
      </xdr:txBody>
    </xdr:sp>
    <xdr:clientData/>
  </xdr:twoCellAnchor>
  <xdr:twoCellAnchor>
    <xdr:from>
      <xdr:col>0</xdr:col>
      <xdr:colOff>0</xdr:colOff>
      <xdr:row>6</xdr:row>
      <xdr:rowOff>45720</xdr:rowOff>
    </xdr:from>
    <xdr:to>
      <xdr:col>8</xdr:col>
      <xdr:colOff>45720</xdr:colOff>
      <xdr:row>24</xdr:row>
      <xdr:rowOff>137160</xdr:rowOff>
    </xdr:to>
    <xdr:graphicFrame macro="">
      <xdr:nvGraphicFramePr>
        <xdr:cNvPr id="11" name="Chart 1">
          <a:extLst>
            <a:ext uri="{FF2B5EF4-FFF2-40B4-BE49-F238E27FC236}">
              <a16:creationId xmlns:a16="http://schemas.microsoft.com/office/drawing/2014/main" id="{B3CF38DB-D803-87CF-7B61-5E2EED0FEE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53340</xdr:colOff>
      <xdr:row>6</xdr:row>
      <xdr:rowOff>30480</xdr:rowOff>
    </xdr:from>
    <xdr:to>
      <xdr:col>17</xdr:col>
      <xdr:colOff>487680</xdr:colOff>
      <xdr:row>24</xdr:row>
      <xdr:rowOff>68580</xdr:rowOff>
    </xdr:to>
    <xdr:graphicFrame macro="">
      <xdr:nvGraphicFramePr>
        <xdr:cNvPr id="12" name="Chart 2">
          <a:extLst>
            <a:ext uri="{FF2B5EF4-FFF2-40B4-BE49-F238E27FC236}">
              <a16:creationId xmlns:a16="http://schemas.microsoft.com/office/drawing/2014/main" id="{D7F1D31E-1627-D34A-5583-16BE457A73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144780</xdr:colOff>
      <xdr:row>25</xdr:row>
      <xdr:rowOff>15240</xdr:rowOff>
    </xdr:from>
    <xdr:to>
      <xdr:col>8</xdr:col>
      <xdr:colOff>198120</xdr:colOff>
      <xdr:row>43</xdr:row>
      <xdr:rowOff>45720</xdr:rowOff>
    </xdr:to>
    <xdr:graphicFrame macro="">
      <xdr:nvGraphicFramePr>
        <xdr:cNvPr id="13" name="Chart 1">
          <a:extLst>
            <a:ext uri="{FF2B5EF4-FFF2-40B4-BE49-F238E27FC236}">
              <a16:creationId xmlns:a16="http://schemas.microsoft.com/office/drawing/2014/main" id="{43AEB835-9550-62E9-420C-8E4FAAC235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190500</xdr:colOff>
      <xdr:row>24</xdr:row>
      <xdr:rowOff>38100</xdr:rowOff>
    </xdr:from>
    <xdr:to>
      <xdr:col>17</xdr:col>
      <xdr:colOff>175260</xdr:colOff>
      <xdr:row>43</xdr:row>
      <xdr:rowOff>45720</xdr:rowOff>
    </xdr:to>
    <xdr:graphicFrame macro="">
      <xdr:nvGraphicFramePr>
        <xdr:cNvPr id="14" name="Chart 1">
          <a:extLst>
            <a:ext uri="{FF2B5EF4-FFF2-40B4-BE49-F238E27FC236}">
              <a16:creationId xmlns:a16="http://schemas.microsoft.com/office/drawing/2014/main" id="{4F57298E-9B4E-46C9-015A-7EF422A596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480060</xdr:colOff>
      <xdr:row>42</xdr:row>
      <xdr:rowOff>167640</xdr:rowOff>
    </xdr:from>
    <xdr:to>
      <xdr:col>5</xdr:col>
      <xdr:colOff>91440</xdr:colOff>
      <xdr:row>56</xdr:row>
      <xdr:rowOff>74295</xdr:rowOff>
    </xdr:to>
    <mc:AlternateContent xmlns:mc="http://schemas.openxmlformats.org/markup-compatibility/2006">
      <mc:Choice xmlns:a14="http://schemas.microsoft.com/office/drawing/2010/main" Requires="a14">
        <xdr:graphicFrame macro="">
          <xdr:nvGraphicFramePr>
            <xdr:cNvPr id="15" name="DATE">
              <a:extLst>
                <a:ext uri="{FF2B5EF4-FFF2-40B4-BE49-F238E27FC236}">
                  <a16:creationId xmlns:a16="http://schemas.microsoft.com/office/drawing/2014/main" id="{D59CD7A7-1BA4-2735-B55E-BA973633F48A}"/>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dr:sp macro="" textlink="">
          <xdr:nvSpPr>
            <xdr:cNvPr id="0" name=""/>
            <xdr:cNvSpPr>
              <a:spLocks noTextEdit="1"/>
            </xdr:cNvSpPr>
          </xdr:nvSpPr>
          <xdr:spPr>
            <a:xfrm>
              <a:off x="1965960" y="84505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44</xdr:row>
      <xdr:rowOff>0</xdr:rowOff>
    </xdr:from>
    <xdr:to>
      <xdr:col>2</xdr:col>
      <xdr:colOff>342900</xdr:colOff>
      <xdr:row>57</xdr:row>
      <xdr:rowOff>165735</xdr:rowOff>
    </xdr:to>
    <mc:AlternateContent xmlns:mc="http://schemas.openxmlformats.org/markup-compatibility/2006">
      <mc:Choice xmlns:a14="http://schemas.microsoft.com/office/drawing/2010/main" Requires="a14">
        <xdr:graphicFrame macro="">
          <xdr:nvGraphicFramePr>
            <xdr:cNvPr id="16" name="Category">
              <a:extLst>
                <a:ext uri="{FF2B5EF4-FFF2-40B4-BE49-F238E27FC236}">
                  <a16:creationId xmlns:a16="http://schemas.microsoft.com/office/drawing/2014/main" id="{53D9FE2E-083A-356F-B3BE-87F78AD22BA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0" y="8648700"/>
              <a:ext cx="1828800" cy="25431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53340</xdr:colOff>
      <xdr:row>42</xdr:row>
      <xdr:rowOff>167640</xdr:rowOff>
    </xdr:from>
    <xdr:to>
      <xdr:col>14</xdr:col>
      <xdr:colOff>53340</xdr:colOff>
      <xdr:row>56</xdr:row>
      <xdr:rowOff>99060</xdr:rowOff>
    </xdr:to>
    <mc:AlternateContent xmlns:mc="http://schemas.openxmlformats.org/markup-compatibility/2006">
      <mc:Choice xmlns:a14="http://schemas.microsoft.com/office/drawing/2010/main" Requires="a14">
        <xdr:graphicFrame macro="">
          <xdr:nvGraphicFramePr>
            <xdr:cNvPr id="17" name="Sub-Category">
              <a:extLst>
                <a:ext uri="{FF2B5EF4-FFF2-40B4-BE49-F238E27FC236}">
                  <a16:creationId xmlns:a16="http://schemas.microsoft.com/office/drawing/2014/main" id="{FBE16425-F587-AADE-2D73-37082EFC0D92}"/>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dr:sp macro="" textlink="">
          <xdr:nvSpPr>
            <xdr:cNvPr id="0" name=""/>
            <xdr:cNvSpPr>
              <a:spLocks noTextEdit="1"/>
            </xdr:cNvSpPr>
          </xdr:nvSpPr>
          <xdr:spPr>
            <a:xfrm>
              <a:off x="7513320" y="8450580"/>
              <a:ext cx="1828800" cy="2491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0</xdr:colOff>
      <xdr:row>43</xdr:row>
      <xdr:rowOff>15241</xdr:rowOff>
    </xdr:from>
    <xdr:to>
      <xdr:col>11</xdr:col>
      <xdr:colOff>83820</xdr:colOff>
      <xdr:row>56</xdr:row>
      <xdr:rowOff>53341</xdr:rowOff>
    </xdr:to>
    <mc:AlternateContent xmlns:mc="http://schemas.openxmlformats.org/markup-compatibility/2006">
      <mc:Choice xmlns:a14="http://schemas.microsoft.com/office/drawing/2010/main" Requires="a14">
        <xdr:graphicFrame macro="">
          <xdr:nvGraphicFramePr>
            <xdr:cNvPr id="18" name="Payment Mode">
              <a:extLst>
                <a:ext uri="{FF2B5EF4-FFF2-40B4-BE49-F238E27FC236}">
                  <a16:creationId xmlns:a16="http://schemas.microsoft.com/office/drawing/2014/main" id="{B9476699-02F1-047D-F7DB-6D1A8610E06D}"/>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dr:sp macro="" textlink="">
          <xdr:nvSpPr>
            <xdr:cNvPr id="0" name=""/>
            <xdr:cNvSpPr>
              <a:spLocks noTextEdit="1"/>
            </xdr:cNvSpPr>
          </xdr:nvSpPr>
          <xdr:spPr>
            <a:xfrm>
              <a:off x="5631180" y="8481061"/>
              <a:ext cx="1912620" cy="2415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99060</xdr:colOff>
      <xdr:row>43</xdr:row>
      <xdr:rowOff>0</xdr:rowOff>
    </xdr:from>
    <xdr:to>
      <xdr:col>8</xdr:col>
      <xdr:colOff>0</xdr:colOff>
      <xdr:row>56</xdr:row>
      <xdr:rowOff>89535</xdr:rowOff>
    </xdr:to>
    <mc:AlternateContent xmlns:mc="http://schemas.openxmlformats.org/markup-compatibility/2006">
      <mc:Choice xmlns:a14="http://schemas.microsoft.com/office/drawing/2010/main" Requires="a14">
        <xdr:graphicFrame macro="">
          <xdr:nvGraphicFramePr>
            <xdr:cNvPr id="21" name="Months (DATE)">
              <a:extLst>
                <a:ext uri="{FF2B5EF4-FFF2-40B4-BE49-F238E27FC236}">
                  <a16:creationId xmlns:a16="http://schemas.microsoft.com/office/drawing/2014/main" id="{661CA46C-21A7-9FF7-A9C0-B87CBA1073E0}"/>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dr:sp macro="" textlink="">
          <xdr:nvSpPr>
            <xdr:cNvPr id="0" name=""/>
            <xdr:cNvSpPr>
              <a:spLocks noTextEdit="1"/>
            </xdr:cNvSpPr>
          </xdr:nvSpPr>
          <xdr:spPr>
            <a:xfrm>
              <a:off x="3802380" y="84658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asa Gudise" refreshedDate="46252.654818981478" createdVersion="8" refreshedVersion="8" minRefreshableVersion="3" recordCount="100" xr:uid="{A3A6B178-5CDF-486A-8541-1BF6FEC5E846}">
  <cacheSource type="worksheet">
    <worksheetSource name="ExpenseData"/>
  </cacheSource>
  <cacheFields count="10">
    <cacheField name="ID" numFmtId="0">
      <sharedItems containsSemiMixedTypes="0" containsString="0" containsNumber="1" containsInteger="1" minValue="1" maxValue="100"/>
    </cacheField>
    <cacheField name="DATE" numFmtId="14">
      <sharedItems containsSemiMixedTypes="0" containsNonDate="0" containsDate="1" containsString="0" minDate="2026-01-01T00:00:00" maxDate="2026-04-12T00:00:00" count="1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sharedItems>
      <fieldGroup par="9"/>
    </cacheField>
    <cacheField name="Category" numFmtId="0">
      <sharedItems count="7">
        <s v="Food"/>
        <s v="Transport"/>
        <s v="Bills"/>
        <s v="Shopping"/>
        <s v="Entertainment"/>
        <s v="Health"/>
        <s v="Education"/>
      </sharedItems>
    </cacheField>
    <cacheField name="Sub-Category" numFmtId="0">
      <sharedItems count="16">
        <s v="Groceries"/>
        <s v="Fuel"/>
        <s v="Restaurant"/>
        <s v="Electricity"/>
        <s v="Clothing"/>
        <s v="Movies"/>
        <s v="Medicine"/>
        <s v="Course"/>
        <s v="Cab"/>
        <s v="Internet"/>
        <s v="Electronics"/>
        <s v="Gaming"/>
        <s v="Doctor"/>
        <s v="Books"/>
        <s v="Bus"/>
        <s v="Mobile"/>
      </sharedItems>
    </cacheField>
    <cacheField name="Payment Mode" numFmtId="0">
      <sharedItems count="3">
        <s v="UPI"/>
        <s v="Cash"/>
        <s v="Card"/>
      </sharedItems>
    </cacheField>
    <cacheField name="Description" numFmtId="0">
      <sharedItems/>
    </cacheField>
    <cacheField name="Amount" numFmtId="0">
      <sharedItems containsSemiMixedTypes="0" containsString="0" containsNumber="1" containsInteger="1" minValue="380" maxValue="3500"/>
    </cacheField>
    <cacheField name="Location" numFmtId="0">
      <sharedItems count="1">
        <s v="Hyderabad"/>
      </sharedItems>
    </cacheField>
    <cacheField name="Days (DATE)" numFmtId="0" databaseField="0">
      <fieldGroup base="1">
        <rangePr groupBy="days" startDate="2026-01-01T00:00:00" endDate="2026-04-12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2-04-2026"/>
        </groupItems>
      </fieldGroup>
    </cacheField>
    <cacheField name="Months (DATE)" numFmtId="0" databaseField="0">
      <fieldGroup base="1">
        <rangePr groupBy="months" startDate="2026-01-01T00:00:00" endDate="2026-04-12T00:00:00"/>
        <groupItems count="14">
          <s v="&lt;01-01-2026"/>
          <s v="Jan"/>
          <s v="Feb"/>
          <s v="Mar"/>
          <s v="Apr"/>
          <s v="May"/>
          <s v="Jun"/>
          <s v="Jul"/>
          <s v="Aug"/>
          <s v="Sep"/>
          <s v="Oct"/>
          <s v="Nov"/>
          <s v="Dec"/>
          <s v="&gt;12-04-2026"/>
        </groupItems>
      </fieldGroup>
    </cacheField>
  </cacheFields>
  <extLst>
    <ext xmlns:x14="http://schemas.microsoft.com/office/spreadsheetml/2009/9/main" uri="{725AE2AE-9491-48be-B2B4-4EB974FC3084}">
      <x14:pivotCacheDefinition pivotCacheId="13049459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1"/>
    <x v="0"/>
    <x v="0"/>
    <x v="0"/>
    <x v="0"/>
    <s v="Monthly groceries"/>
    <n v="2450"/>
    <x v="0"/>
  </r>
  <r>
    <n v="2"/>
    <x v="1"/>
    <x v="1"/>
    <x v="1"/>
    <x v="1"/>
    <s v="Petrol"/>
    <n v="1200"/>
    <x v="0"/>
  </r>
  <r>
    <n v="3"/>
    <x v="2"/>
    <x v="0"/>
    <x v="2"/>
    <x v="0"/>
    <s v="Dinner"/>
    <n v="650"/>
    <x v="0"/>
  </r>
  <r>
    <n v="4"/>
    <x v="3"/>
    <x v="2"/>
    <x v="3"/>
    <x v="0"/>
    <s v="Electricity bill"/>
    <n v="1850"/>
    <x v="0"/>
  </r>
  <r>
    <n v="5"/>
    <x v="4"/>
    <x v="3"/>
    <x v="4"/>
    <x v="2"/>
    <s v="Clothes"/>
    <n v="2200"/>
    <x v="0"/>
  </r>
  <r>
    <n v="6"/>
    <x v="5"/>
    <x v="4"/>
    <x v="5"/>
    <x v="0"/>
    <s v="Movie tickets"/>
    <n v="500"/>
    <x v="0"/>
  </r>
  <r>
    <n v="7"/>
    <x v="6"/>
    <x v="5"/>
    <x v="6"/>
    <x v="1"/>
    <s v="Medicines"/>
    <n v="750"/>
    <x v="0"/>
  </r>
  <r>
    <n v="8"/>
    <x v="7"/>
    <x v="6"/>
    <x v="7"/>
    <x v="0"/>
    <s v="Online course"/>
    <n v="1800"/>
    <x v="0"/>
  </r>
  <r>
    <n v="9"/>
    <x v="8"/>
    <x v="1"/>
    <x v="8"/>
    <x v="0"/>
    <s v="Cab fare"/>
    <n v="420"/>
    <x v="0"/>
  </r>
  <r>
    <n v="10"/>
    <x v="9"/>
    <x v="0"/>
    <x v="2"/>
    <x v="2"/>
    <s v="Lunch"/>
    <n v="480"/>
    <x v="0"/>
  </r>
  <r>
    <n v="11"/>
    <x v="10"/>
    <x v="2"/>
    <x v="9"/>
    <x v="0"/>
    <s v="Internet bill"/>
    <n v="799"/>
    <x v="0"/>
  </r>
  <r>
    <n v="12"/>
    <x v="11"/>
    <x v="3"/>
    <x v="10"/>
    <x v="2"/>
    <s v="Earphones"/>
    <n v="1450"/>
    <x v="0"/>
  </r>
  <r>
    <n v="13"/>
    <x v="12"/>
    <x v="0"/>
    <x v="0"/>
    <x v="0"/>
    <s v="Vegetables"/>
    <n v="850"/>
    <x v="0"/>
  </r>
  <r>
    <n v="14"/>
    <x v="13"/>
    <x v="1"/>
    <x v="1"/>
    <x v="1"/>
    <s v="Petrol"/>
    <n v="1100"/>
    <x v="0"/>
  </r>
  <r>
    <n v="15"/>
    <x v="14"/>
    <x v="4"/>
    <x v="11"/>
    <x v="0"/>
    <s v="Game subscription"/>
    <n v="599"/>
    <x v="0"/>
  </r>
  <r>
    <n v="16"/>
    <x v="15"/>
    <x v="5"/>
    <x v="12"/>
    <x v="0"/>
    <s v="Consultation"/>
    <n v="900"/>
    <x v="0"/>
  </r>
  <r>
    <n v="17"/>
    <x v="16"/>
    <x v="6"/>
    <x v="13"/>
    <x v="2"/>
    <s v="Books"/>
    <n v="1250"/>
    <x v="0"/>
  </r>
  <r>
    <n v="18"/>
    <x v="17"/>
    <x v="0"/>
    <x v="2"/>
    <x v="0"/>
    <s v="Dinner"/>
    <n v="720"/>
    <x v="0"/>
  </r>
  <r>
    <n v="19"/>
    <x v="18"/>
    <x v="1"/>
    <x v="14"/>
    <x v="1"/>
    <s v="Bus pass"/>
    <n v="600"/>
    <x v="0"/>
  </r>
  <r>
    <n v="20"/>
    <x v="19"/>
    <x v="3"/>
    <x v="4"/>
    <x v="2"/>
    <s v="Shoes"/>
    <n v="2800"/>
    <x v="0"/>
  </r>
  <r>
    <n v="21"/>
    <x v="20"/>
    <x v="2"/>
    <x v="3"/>
    <x v="0"/>
    <s v="Electricity bill"/>
    <n v="1650"/>
    <x v="0"/>
  </r>
  <r>
    <n v="22"/>
    <x v="21"/>
    <x v="0"/>
    <x v="0"/>
    <x v="0"/>
    <s v="Groceries"/>
    <n v="2100"/>
    <x v="0"/>
  </r>
  <r>
    <n v="23"/>
    <x v="22"/>
    <x v="1"/>
    <x v="8"/>
    <x v="0"/>
    <s v="Cab fare"/>
    <n v="380"/>
    <x v="0"/>
  </r>
  <r>
    <n v="24"/>
    <x v="23"/>
    <x v="4"/>
    <x v="5"/>
    <x v="2"/>
    <s v="Movie"/>
    <n v="650"/>
    <x v="0"/>
  </r>
  <r>
    <n v="25"/>
    <x v="24"/>
    <x v="5"/>
    <x v="6"/>
    <x v="1"/>
    <s v="Medicine"/>
    <n v="450"/>
    <x v="0"/>
  </r>
  <r>
    <n v="26"/>
    <x v="25"/>
    <x v="6"/>
    <x v="7"/>
    <x v="0"/>
    <s v="Certification"/>
    <n v="999"/>
    <x v="0"/>
  </r>
  <r>
    <n v="27"/>
    <x v="26"/>
    <x v="0"/>
    <x v="2"/>
    <x v="0"/>
    <s v="Lunch"/>
    <n v="550"/>
    <x v="0"/>
  </r>
  <r>
    <n v="28"/>
    <x v="27"/>
    <x v="3"/>
    <x v="10"/>
    <x v="2"/>
    <s v="Keyboard"/>
    <n v="1750"/>
    <x v="0"/>
  </r>
  <r>
    <n v="29"/>
    <x v="28"/>
    <x v="2"/>
    <x v="15"/>
    <x v="0"/>
    <s v="Mobile recharge"/>
    <n v="499"/>
    <x v="0"/>
  </r>
  <r>
    <n v="30"/>
    <x v="29"/>
    <x v="1"/>
    <x v="1"/>
    <x v="1"/>
    <s v="Petrol"/>
    <n v="1300"/>
    <x v="0"/>
  </r>
  <r>
    <n v="31"/>
    <x v="30"/>
    <x v="0"/>
    <x v="0"/>
    <x v="0"/>
    <s v="Groceries"/>
    <n v="2600"/>
    <x v="0"/>
  </r>
  <r>
    <n v="32"/>
    <x v="31"/>
    <x v="2"/>
    <x v="3"/>
    <x v="0"/>
    <s v="Electricity"/>
    <n v="1920"/>
    <x v="0"/>
  </r>
  <r>
    <n v="33"/>
    <x v="32"/>
    <x v="1"/>
    <x v="8"/>
    <x v="0"/>
    <s v="Cab fare"/>
    <n v="450"/>
    <x v="0"/>
  </r>
  <r>
    <n v="34"/>
    <x v="33"/>
    <x v="3"/>
    <x v="4"/>
    <x v="2"/>
    <s v="Jacket"/>
    <n v="3200"/>
    <x v="0"/>
  </r>
  <r>
    <n v="35"/>
    <x v="34"/>
    <x v="0"/>
    <x v="2"/>
    <x v="0"/>
    <s v="Dinner"/>
    <n v="780"/>
    <x v="0"/>
  </r>
  <r>
    <n v="36"/>
    <x v="35"/>
    <x v="5"/>
    <x v="12"/>
    <x v="0"/>
    <s v="Doctor visit"/>
    <n v="1000"/>
    <x v="0"/>
  </r>
  <r>
    <n v="37"/>
    <x v="36"/>
    <x v="6"/>
    <x v="13"/>
    <x v="2"/>
    <s v="Study books"/>
    <n v="950"/>
    <x v="0"/>
  </r>
  <r>
    <n v="38"/>
    <x v="37"/>
    <x v="4"/>
    <x v="5"/>
    <x v="0"/>
    <s v="Movie"/>
    <n v="550"/>
    <x v="0"/>
  </r>
  <r>
    <n v="39"/>
    <x v="38"/>
    <x v="1"/>
    <x v="1"/>
    <x v="1"/>
    <s v="Petrol"/>
    <n v="1250"/>
    <x v="0"/>
  </r>
  <r>
    <n v="40"/>
    <x v="39"/>
    <x v="0"/>
    <x v="0"/>
    <x v="0"/>
    <s v="Fruits"/>
    <n v="900"/>
    <x v="0"/>
  </r>
  <r>
    <n v="41"/>
    <x v="40"/>
    <x v="2"/>
    <x v="9"/>
    <x v="0"/>
    <s v="Internet"/>
    <n v="799"/>
    <x v="0"/>
  </r>
  <r>
    <n v="42"/>
    <x v="41"/>
    <x v="3"/>
    <x v="10"/>
    <x v="2"/>
    <s v="Mouse"/>
    <n v="850"/>
    <x v="0"/>
  </r>
  <r>
    <n v="43"/>
    <x v="42"/>
    <x v="0"/>
    <x v="2"/>
    <x v="0"/>
    <s v="Lunch"/>
    <n v="620"/>
    <x v="0"/>
  </r>
  <r>
    <n v="44"/>
    <x v="43"/>
    <x v="1"/>
    <x v="14"/>
    <x v="1"/>
    <s v="Bus pass"/>
    <n v="650"/>
    <x v="0"/>
  </r>
  <r>
    <n v="45"/>
    <x v="44"/>
    <x v="5"/>
    <x v="6"/>
    <x v="0"/>
    <s v="Medicines"/>
    <n v="680"/>
    <x v="0"/>
  </r>
  <r>
    <n v="46"/>
    <x v="45"/>
    <x v="6"/>
    <x v="7"/>
    <x v="2"/>
    <s v="Course fee"/>
    <n v="1500"/>
    <x v="0"/>
  </r>
  <r>
    <n v="47"/>
    <x v="46"/>
    <x v="4"/>
    <x v="11"/>
    <x v="0"/>
    <s v="Gaming"/>
    <n v="750"/>
    <x v="0"/>
  </r>
  <r>
    <n v="48"/>
    <x v="47"/>
    <x v="0"/>
    <x v="0"/>
    <x v="0"/>
    <s v="Groceries"/>
    <n v="2300"/>
    <x v="0"/>
  </r>
  <r>
    <n v="49"/>
    <x v="48"/>
    <x v="3"/>
    <x v="4"/>
    <x v="2"/>
    <s v="T-shirt"/>
    <n v="1100"/>
    <x v="0"/>
  </r>
  <r>
    <n v="50"/>
    <x v="49"/>
    <x v="2"/>
    <x v="15"/>
    <x v="0"/>
    <s v="Recharge"/>
    <n v="599"/>
    <x v="0"/>
  </r>
  <r>
    <n v="51"/>
    <x v="50"/>
    <x v="1"/>
    <x v="1"/>
    <x v="1"/>
    <s v="Petrol"/>
    <n v="1150"/>
    <x v="0"/>
  </r>
  <r>
    <n v="52"/>
    <x v="51"/>
    <x v="0"/>
    <x v="2"/>
    <x v="0"/>
    <s v="Dinner"/>
    <n v="850"/>
    <x v="0"/>
  </r>
  <r>
    <n v="53"/>
    <x v="52"/>
    <x v="2"/>
    <x v="3"/>
    <x v="0"/>
    <s v="Electricity"/>
    <n v="1780"/>
    <x v="0"/>
  </r>
  <r>
    <n v="54"/>
    <x v="53"/>
    <x v="5"/>
    <x v="12"/>
    <x v="0"/>
    <s v="Consultation"/>
    <n v="800"/>
    <x v="0"/>
  </r>
  <r>
    <n v="55"/>
    <x v="54"/>
    <x v="6"/>
    <x v="13"/>
    <x v="2"/>
    <s v="Books"/>
    <n v="1350"/>
    <x v="0"/>
  </r>
  <r>
    <n v="56"/>
    <x v="55"/>
    <x v="4"/>
    <x v="5"/>
    <x v="0"/>
    <s v="Movie tickets"/>
    <n v="600"/>
    <x v="0"/>
  </r>
  <r>
    <n v="57"/>
    <x v="56"/>
    <x v="1"/>
    <x v="8"/>
    <x v="0"/>
    <s v="Cab"/>
    <n v="490"/>
    <x v="0"/>
  </r>
  <r>
    <n v="58"/>
    <x v="57"/>
    <x v="0"/>
    <x v="0"/>
    <x v="0"/>
    <s v="Groceries"/>
    <n v="2750"/>
    <x v="0"/>
  </r>
  <r>
    <n v="59"/>
    <x v="58"/>
    <x v="3"/>
    <x v="10"/>
    <x v="2"/>
    <s v="Smartwatch"/>
    <n v="3500"/>
    <x v="0"/>
  </r>
  <r>
    <n v="60"/>
    <x v="59"/>
    <x v="2"/>
    <x v="9"/>
    <x v="0"/>
    <s v="Internet"/>
    <n v="799"/>
    <x v="0"/>
  </r>
  <r>
    <n v="61"/>
    <x v="60"/>
    <x v="0"/>
    <x v="2"/>
    <x v="0"/>
    <s v="Lunch"/>
    <n v="580"/>
    <x v="0"/>
  </r>
  <r>
    <n v="62"/>
    <x v="61"/>
    <x v="1"/>
    <x v="1"/>
    <x v="1"/>
    <s v="Petrol"/>
    <n v="1400"/>
    <x v="0"/>
  </r>
  <r>
    <n v="63"/>
    <x v="62"/>
    <x v="5"/>
    <x v="6"/>
    <x v="0"/>
    <s v="Medicines"/>
    <n v="550"/>
    <x v="0"/>
  </r>
  <r>
    <n v="64"/>
    <x v="63"/>
    <x v="6"/>
    <x v="7"/>
    <x v="2"/>
    <s v="Online course"/>
    <n v="1200"/>
    <x v="0"/>
  </r>
  <r>
    <n v="65"/>
    <x v="64"/>
    <x v="4"/>
    <x v="11"/>
    <x v="0"/>
    <s v="Game"/>
    <n v="499"/>
    <x v="0"/>
  </r>
  <r>
    <n v="66"/>
    <x v="65"/>
    <x v="0"/>
    <x v="0"/>
    <x v="0"/>
    <s v="Groceries"/>
    <n v="2400"/>
    <x v="0"/>
  </r>
  <r>
    <n v="67"/>
    <x v="66"/>
    <x v="3"/>
    <x v="4"/>
    <x v="2"/>
    <s v="Jeans"/>
    <n v="1900"/>
    <x v="0"/>
  </r>
  <r>
    <n v="68"/>
    <x v="67"/>
    <x v="2"/>
    <x v="15"/>
    <x v="0"/>
    <s v="Recharge"/>
    <n v="499"/>
    <x v="0"/>
  </r>
  <r>
    <n v="69"/>
    <x v="68"/>
    <x v="1"/>
    <x v="8"/>
    <x v="0"/>
    <s v="Cab fare"/>
    <n v="520"/>
    <x v="0"/>
  </r>
  <r>
    <n v="70"/>
    <x v="69"/>
    <x v="0"/>
    <x v="2"/>
    <x v="2"/>
    <s v="Dinner"/>
    <n v="920"/>
    <x v="0"/>
  </r>
  <r>
    <n v="71"/>
    <x v="70"/>
    <x v="2"/>
    <x v="3"/>
    <x v="0"/>
    <s v="Electricity"/>
    <n v="2100"/>
    <x v="0"/>
  </r>
  <r>
    <n v="72"/>
    <x v="71"/>
    <x v="5"/>
    <x v="12"/>
    <x v="0"/>
    <s v="Checkup"/>
    <n v="1100"/>
    <x v="0"/>
  </r>
  <r>
    <n v="73"/>
    <x v="72"/>
    <x v="6"/>
    <x v="13"/>
    <x v="2"/>
    <s v="Books"/>
    <n v="850"/>
    <x v="0"/>
  </r>
  <r>
    <n v="74"/>
    <x v="73"/>
    <x v="4"/>
    <x v="5"/>
    <x v="0"/>
    <s v="Movie"/>
    <n v="700"/>
    <x v="0"/>
  </r>
  <r>
    <n v="75"/>
    <x v="74"/>
    <x v="1"/>
    <x v="1"/>
    <x v="1"/>
    <s v="Petrol"/>
    <n v="1350"/>
    <x v="0"/>
  </r>
  <r>
    <n v="76"/>
    <x v="75"/>
    <x v="0"/>
    <x v="0"/>
    <x v="0"/>
    <s v="Groceries"/>
    <n v="2900"/>
    <x v="0"/>
  </r>
  <r>
    <n v="77"/>
    <x v="76"/>
    <x v="3"/>
    <x v="10"/>
    <x v="2"/>
    <s v="Headphones"/>
    <n v="2400"/>
    <x v="0"/>
  </r>
  <r>
    <n v="78"/>
    <x v="77"/>
    <x v="2"/>
    <x v="9"/>
    <x v="0"/>
    <s v="Internet"/>
    <n v="799"/>
    <x v="0"/>
  </r>
  <r>
    <n v="79"/>
    <x v="78"/>
    <x v="0"/>
    <x v="2"/>
    <x v="0"/>
    <s v="Lunch"/>
    <n v="650"/>
    <x v="0"/>
  </r>
  <r>
    <n v="80"/>
    <x v="79"/>
    <x v="1"/>
    <x v="14"/>
    <x v="1"/>
    <s v="Bus"/>
    <n v="550"/>
    <x v="0"/>
  </r>
  <r>
    <n v="81"/>
    <x v="80"/>
    <x v="5"/>
    <x v="6"/>
    <x v="0"/>
    <s v="Medicines"/>
    <n v="720"/>
    <x v="0"/>
  </r>
  <r>
    <n v="82"/>
    <x v="81"/>
    <x v="6"/>
    <x v="7"/>
    <x v="2"/>
    <s v="Training"/>
    <n v="2000"/>
    <x v="0"/>
  </r>
  <r>
    <n v="83"/>
    <x v="82"/>
    <x v="4"/>
    <x v="11"/>
    <x v="0"/>
    <s v="Subscription"/>
    <n v="699"/>
    <x v="0"/>
  </r>
  <r>
    <n v="84"/>
    <x v="83"/>
    <x v="0"/>
    <x v="0"/>
    <x v="0"/>
    <s v="Groceries"/>
    <n v="2550"/>
    <x v="0"/>
  </r>
  <r>
    <n v="85"/>
    <x v="84"/>
    <x v="3"/>
    <x v="4"/>
    <x v="2"/>
    <s v="Shirt"/>
    <n v="1400"/>
    <x v="0"/>
  </r>
  <r>
    <n v="86"/>
    <x v="85"/>
    <x v="2"/>
    <x v="15"/>
    <x v="0"/>
    <s v="Recharge"/>
    <n v="599"/>
    <x v="0"/>
  </r>
  <r>
    <n v="87"/>
    <x v="86"/>
    <x v="1"/>
    <x v="1"/>
    <x v="1"/>
    <s v="Petrol"/>
    <n v="1200"/>
    <x v="0"/>
  </r>
  <r>
    <n v="88"/>
    <x v="87"/>
    <x v="0"/>
    <x v="2"/>
    <x v="0"/>
    <s v="Dinner"/>
    <n v="880"/>
    <x v="0"/>
  </r>
  <r>
    <n v="89"/>
    <x v="88"/>
    <x v="2"/>
    <x v="3"/>
    <x v="0"/>
    <s v="Electricity"/>
    <n v="1950"/>
    <x v="0"/>
  </r>
  <r>
    <n v="90"/>
    <x v="89"/>
    <x v="5"/>
    <x v="12"/>
    <x v="0"/>
    <s v="Doctor visit"/>
    <n v="950"/>
    <x v="0"/>
  </r>
  <r>
    <n v="91"/>
    <x v="90"/>
    <x v="6"/>
    <x v="13"/>
    <x v="2"/>
    <s v="Books"/>
    <n v="1150"/>
    <x v="0"/>
  </r>
  <r>
    <n v="92"/>
    <x v="91"/>
    <x v="4"/>
    <x v="5"/>
    <x v="0"/>
    <s v="Movie"/>
    <n v="600"/>
    <x v="0"/>
  </r>
  <r>
    <n v="93"/>
    <x v="92"/>
    <x v="1"/>
    <x v="8"/>
    <x v="0"/>
    <s v="Cab"/>
    <n v="430"/>
    <x v="0"/>
  </r>
  <r>
    <n v="94"/>
    <x v="93"/>
    <x v="0"/>
    <x v="0"/>
    <x v="0"/>
    <s v="Groceries"/>
    <n v="2850"/>
    <x v="0"/>
  </r>
  <r>
    <n v="95"/>
    <x v="94"/>
    <x v="3"/>
    <x v="10"/>
    <x v="2"/>
    <s v="Power bank"/>
    <n v="1600"/>
    <x v="0"/>
  </r>
  <r>
    <n v="96"/>
    <x v="95"/>
    <x v="2"/>
    <x v="9"/>
    <x v="0"/>
    <s v="Internet"/>
    <n v="799"/>
    <x v="0"/>
  </r>
  <r>
    <n v="97"/>
    <x v="96"/>
    <x v="0"/>
    <x v="2"/>
    <x v="0"/>
    <s v="Lunch"/>
    <n v="540"/>
    <x v="0"/>
  </r>
  <r>
    <n v="98"/>
    <x v="97"/>
    <x v="1"/>
    <x v="1"/>
    <x v="1"/>
    <s v="Petrol"/>
    <n v="1250"/>
    <x v="0"/>
  </r>
  <r>
    <n v="99"/>
    <x v="98"/>
    <x v="5"/>
    <x v="6"/>
    <x v="0"/>
    <s v="Medicines"/>
    <n v="620"/>
    <x v="0"/>
  </r>
  <r>
    <n v="100"/>
    <x v="99"/>
    <x v="6"/>
    <x v="7"/>
    <x v="2"/>
    <s v="Certification"/>
    <n v="175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1CB8D9-787A-4422-8BDD-DF5B0BCC7B75}"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1" firstHeaderRow="1" firstDataRow="1" firstDataCol="1"/>
  <pivotFields count="10">
    <pivotField showAll="0"/>
    <pivotField numFmtId="1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axis="axisRow" showAll="0">
      <items count="8">
        <item x="2"/>
        <item x="6"/>
        <item x="4"/>
        <item x="0"/>
        <item x="5"/>
        <item x="3"/>
        <item x="1"/>
        <item t="default"/>
      </items>
    </pivotField>
    <pivotField showAll="0">
      <items count="17">
        <item x="13"/>
        <item x="14"/>
        <item x="8"/>
        <item x="4"/>
        <item x="7"/>
        <item x="12"/>
        <item x="3"/>
        <item x="10"/>
        <item x="1"/>
        <item x="11"/>
        <item x="0"/>
        <item x="9"/>
        <item x="6"/>
        <item x="15"/>
        <item x="5"/>
        <item x="2"/>
        <item t="default"/>
      </items>
    </pivotField>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8">
    <i>
      <x/>
    </i>
    <i>
      <x v="1"/>
    </i>
    <i>
      <x v="2"/>
    </i>
    <i>
      <x v="3"/>
    </i>
    <i>
      <x v="4"/>
    </i>
    <i>
      <x v="5"/>
    </i>
    <i>
      <x v="6"/>
    </i>
    <i t="grand">
      <x/>
    </i>
  </rowItems>
  <colItems count="1">
    <i/>
  </colItems>
  <dataFields count="1">
    <dataField name="Sum of Amount" fld="6" baseField="0" baseItem="0"/>
  </dataField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F5D5B5-6FDB-4E1E-B966-5AA54444E89A}"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10">
    <pivotField showAll="0"/>
    <pivotField axis="axisRow" numFmtId="1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showAll="0">
      <items count="17">
        <item x="13"/>
        <item x="14"/>
        <item x="8"/>
        <item x="4"/>
        <item x="7"/>
        <item x="12"/>
        <item x="3"/>
        <item x="10"/>
        <item x="1"/>
        <item x="11"/>
        <item x="0"/>
        <item x="9"/>
        <item x="6"/>
        <item x="15"/>
        <item x="5"/>
        <item x="2"/>
        <item t="default"/>
      </items>
    </pivotField>
    <pivotField showAll="0"/>
    <pivotField showAll="0"/>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9"/>
    <field x="8"/>
    <field x="1"/>
  </rowFields>
  <rowItems count="5">
    <i>
      <x v="1"/>
    </i>
    <i>
      <x v="2"/>
    </i>
    <i>
      <x v="3"/>
    </i>
    <i>
      <x v="4"/>
    </i>
    <i t="grand">
      <x/>
    </i>
  </rowItems>
  <colItems count="1">
    <i/>
  </colItems>
  <dataFields count="1">
    <dataField name="Sum of Amount" fld="6" baseField="0" baseItem="0"/>
  </dataField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8E4ACC4-42CE-4348-A5E5-3D846EC8B094}"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10">
    <pivotField showAll="0"/>
    <pivotField numFmtId="1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showAll="0">
      <items count="17">
        <item x="13"/>
        <item x="14"/>
        <item x="8"/>
        <item x="4"/>
        <item x="7"/>
        <item x="12"/>
        <item x="3"/>
        <item x="10"/>
        <item x="1"/>
        <item x="11"/>
        <item x="0"/>
        <item x="9"/>
        <item x="6"/>
        <item x="15"/>
        <item x="5"/>
        <item x="2"/>
        <item t="default"/>
      </items>
    </pivotField>
    <pivotField axis="axisRow" showAll="0">
      <items count="4">
        <item x="2"/>
        <item x="1"/>
        <item x="0"/>
        <item t="default"/>
      </items>
    </pivotField>
    <pivotField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4">
    <i>
      <x/>
    </i>
    <i>
      <x v="1"/>
    </i>
    <i>
      <x v="2"/>
    </i>
    <i t="grand">
      <x/>
    </i>
  </rowItems>
  <colItems count="1">
    <i/>
  </colItems>
  <dataFields count="1">
    <dataField name="Sum of Amount" fld="6" baseField="0" baseItem="0"/>
  </dataFields>
  <chartFormats count="4">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4" count="1" selected="0">
            <x v="0"/>
          </reference>
        </references>
      </pivotArea>
    </chartFormat>
    <chartFormat chart="3" format="6">
      <pivotArea type="data" outline="0" fieldPosition="0">
        <references count="2">
          <reference field="4294967294" count="1" selected="0">
            <x v="0"/>
          </reference>
          <reference field="4" count="1" selected="0">
            <x v="1"/>
          </reference>
        </references>
      </pivotArea>
    </chartFormat>
    <chartFormat chart="3" format="7">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808965A-5906-43D6-98C5-4342095A3DC5}"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20" firstHeaderRow="1" firstDataRow="1" firstDataCol="1"/>
  <pivotFields count="10">
    <pivotField showAll="0"/>
    <pivotField numFmtId="1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items count="8">
        <item x="2"/>
        <item x="6"/>
        <item x="4"/>
        <item x="0"/>
        <item x="5"/>
        <item x="3"/>
        <item x="1"/>
        <item t="default"/>
      </items>
    </pivotField>
    <pivotField axis="axisRow" showAll="0">
      <items count="17">
        <item x="13"/>
        <item x="14"/>
        <item x="8"/>
        <item x="4"/>
        <item x="7"/>
        <item x="12"/>
        <item x="3"/>
        <item x="10"/>
        <item x="1"/>
        <item x="11"/>
        <item x="0"/>
        <item x="9"/>
        <item x="6"/>
        <item x="15"/>
        <item x="5"/>
        <item x="2"/>
        <item t="default"/>
      </items>
    </pivotField>
    <pivotField showAll="0">
      <items count="4">
        <item x="2"/>
        <item x="1"/>
        <item x="0"/>
        <item t="default"/>
      </items>
    </pivotField>
    <pivotField showAll="0"/>
    <pivotField dataField="1" showAll="0"/>
    <pivotField showAll="0">
      <items count="2">
        <item x="0"/>
        <item t="default"/>
      </items>
    </pivotField>
    <pivotField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showAll="0" defaultSubtotal="0">
      <items count="14">
        <item x="0"/>
        <item x="1"/>
        <item x="2"/>
        <item x="3"/>
        <item x="4"/>
        <item x="5"/>
        <item x="6"/>
        <item x="7"/>
        <item x="8"/>
        <item x="9"/>
        <item x="10"/>
        <item x="11"/>
        <item x="12"/>
        <item x="13"/>
      </items>
    </pivotField>
  </pivotFields>
  <rowFields count="1">
    <field x="3"/>
  </rowFields>
  <rowItems count="17">
    <i>
      <x/>
    </i>
    <i>
      <x v="1"/>
    </i>
    <i>
      <x v="2"/>
    </i>
    <i>
      <x v="3"/>
    </i>
    <i>
      <x v="4"/>
    </i>
    <i>
      <x v="5"/>
    </i>
    <i>
      <x v="6"/>
    </i>
    <i>
      <x v="7"/>
    </i>
    <i>
      <x v="8"/>
    </i>
    <i>
      <x v="9"/>
    </i>
    <i>
      <x v="10"/>
    </i>
    <i>
      <x v="11"/>
    </i>
    <i>
      <x v="12"/>
    </i>
    <i>
      <x v="13"/>
    </i>
    <i>
      <x v="14"/>
    </i>
    <i>
      <x v="15"/>
    </i>
    <i t="grand">
      <x/>
    </i>
  </rowItems>
  <colItems count="1">
    <i/>
  </colItems>
  <dataFields count="1">
    <dataField name="Sum of Amount" fld="6" baseField="0" baseItem="0"/>
  </dataField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4A553213-7C6A-48BD-9B9F-3DB87F2B6168}" sourceName="DATE">
  <pivotTables>
    <pivotTable tabId="5" name="PivotTable4"/>
  </pivotTables>
  <data>
    <tabular pivotCacheId="1304945905">
      <items count="100">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C982147-262F-42EB-BBFD-7A3F1608B114}" sourceName="Category">
  <pivotTables>
    <pivotTable tabId="5" name="PivotTable4"/>
  </pivotTables>
  <data>
    <tabular pivotCacheId="1304945905">
      <items count="7">
        <i x="2" s="1"/>
        <i x="6" s="1"/>
        <i x="4" s="1"/>
        <i x="0" s="1"/>
        <i x="5"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B127C645-95E7-4C16-AA35-60344071D466}" sourceName="Sub-Category">
  <pivotTables>
    <pivotTable tabId="5" name="PivotTable4"/>
    <pivotTable tabId="2" name="PivotTable1"/>
    <pivotTable tabId="3" name="PivotTable2"/>
    <pivotTable tabId="4" name="PivotTable3"/>
  </pivotTables>
  <data>
    <tabular pivotCacheId="1304945905">
      <items count="16">
        <i x="13" s="1"/>
        <i x="14" s="1"/>
        <i x="8" s="1"/>
        <i x="4" s="1"/>
        <i x="7" s="1"/>
        <i x="12" s="1"/>
        <i x="3" s="1"/>
        <i x="10" s="1"/>
        <i x="1" s="1"/>
        <i x="11" s="1"/>
        <i x="0" s="1"/>
        <i x="9" s="1"/>
        <i x="6" s="1"/>
        <i x="15" s="1"/>
        <i x="5"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F11475BC-93B1-4515-B1DC-26D8F2253FC4}" sourceName="Payment Mode">
  <pivotTables>
    <pivotTable tabId="5" name="PivotTable4"/>
  </pivotTables>
  <data>
    <tabular pivotCacheId="1304945905">
      <items count="3">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04493CD9-EDCA-4602-AD35-1C21ECD44F7C}" sourceName="Months (DATE)">
  <pivotTables>
    <pivotTable tabId="5" name="PivotTable4"/>
  </pivotTables>
  <data>
    <tabular pivotCacheId="1304945905">
      <items count="14">
        <i x="1" s="1"/>
        <i x="2" s="1"/>
        <i x="3" s="1"/>
        <i x="4" s="1"/>
        <i x="5" s="1" nd="1"/>
        <i x="6" s="1" nd="1"/>
        <i x="7" s="1" nd="1"/>
        <i x="8" s="1" nd="1"/>
        <i x="9" s="1" nd="1"/>
        <i x="10" s="1" nd="1"/>
        <i x="11" s="1" nd="1"/>
        <i x="12" s="1" nd="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1C067ABC-46B3-4870-BE5A-FE4FCC39C919}" cache="Slicer_DATE" caption="DATE" rowHeight="234950"/>
  <slicer name="Category" xr10:uid="{54348406-DB97-4686-A074-2F8A1F2A0F5B}" cache="Slicer_Category" caption="Category" rowHeight="234950"/>
  <slicer name="Sub-Category" xr10:uid="{A62ED739-C7F8-4C20-A040-2480140F5691}" cache="Slicer_Sub_Category" caption="Sub-Category" rowHeight="234950"/>
  <slicer name="Payment Mode" xr10:uid="{D1FBF157-4BB2-42D5-8FB9-45966D8DA722}" cache="Slicer_Payment_Mode" caption="Payment Mode" rowHeight="234950"/>
  <slicer name="Months (DATE)" xr10:uid="{8DA1768A-E46F-41EF-B947-2AA80988A801}" cache="Slicer_Months__DATE" caption="Months (DAT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416CCA-6DDC-4400-81D4-BC56F8C5CDD5}" name="ExpenseData" displayName="ExpenseData" ref="A2:H102" totalsRowShown="0" headerRowDxfId="9" dataDxfId="8">
  <autoFilter ref="A2:H102" xr:uid="{C6416CCA-6DDC-4400-81D4-BC56F8C5CDD5}"/>
  <tableColumns count="8">
    <tableColumn id="1" xr3:uid="{AB46B8EB-E9A9-4B88-A474-8972190E0F16}" name="ID" dataDxfId="7"/>
    <tableColumn id="2" xr3:uid="{F3BFD091-9778-4285-B041-07765949BA3E}" name="DATE" dataDxfId="6"/>
    <tableColumn id="3" xr3:uid="{9BC57E04-2109-4257-83F8-94261905594C}" name="Category" dataDxfId="5"/>
    <tableColumn id="4" xr3:uid="{ADD68E36-015C-43C4-9F37-09060634036C}" name="Sub-Category" dataDxfId="4"/>
    <tableColumn id="5" xr3:uid="{9A036C15-7EFD-4427-A03B-DB639DF26E22}" name="Payment Mode" dataDxfId="3"/>
    <tableColumn id="6" xr3:uid="{4EAE3BFB-A4CE-49BB-BF9C-DB30C5903003}" name="Description" dataDxfId="2"/>
    <tableColumn id="7" xr3:uid="{C8B7F365-B528-4A57-86E7-BC66FE67C288}" name="Amount" dataDxfId="1"/>
    <tableColumn id="8" xr3:uid="{AF355FD3-AE7B-4BDF-89B8-5F66D4FF7B6F}" name="Locatio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2"/>
  <sheetViews>
    <sheetView topLeftCell="A89" workbookViewId="0">
      <selection activeCell="G24" sqref="G24"/>
    </sheetView>
  </sheetViews>
  <sheetFormatPr defaultRowHeight="14.4" x14ac:dyDescent="0.3"/>
  <cols>
    <col min="1" max="1" width="9.88671875" customWidth="1"/>
    <col min="2" max="2" width="19.21875" customWidth="1"/>
    <col min="3" max="3" width="18.109375" customWidth="1"/>
    <col min="4" max="4" width="14.33203125" customWidth="1"/>
    <col min="5" max="5" width="15.88671875" customWidth="1"/>
    <col min="6" max="6" width="12.33203125" customWidth="1"/>
    <col min="7" max="7" width="16.5546875" customWidth="1"/>
    <col min="8" max="8" width="10.109375" customWidth="1"/>
    <col min="10" max="10" width="14.33203125" customWidth="1"/>
  </cols>
  <sheetData>
    <row r="1" spans="1:10" x14ac:dyDescent="0.3">
      <c r="A1" s="2"/>
      <c r="B1" s="3"/>
      <c r="C1" s="3"/>
      <c r="D1" s="3"/>
      <c r="E1" s="3"/>
      <c r="F1" s="3"/>
      <c r="G1" s="2"/>
      <c r="H1" s="3"/>
    </row>
    <row r="2" spans="1:10" x14ac:dyDescent="0.3">
      <c r="A2" s="2" t="s">
        <v>0</v>
      </c>
      <c r="B2" s="2" t="s">
        <v>72</v>
      </c>
      <c r="C2" s="3" t="s">
        <v>1</v>
      </c>
      <c r="D2" s="3" t="s">
        <v>2</v>
      </c>
      <c r="E2" s="3" t="s">
        <v>3</v>
      </c>
      <c r="F2" s="3" t="s">
        <v>4</v>
      </c>
      <c r="G2" s="2" t="s">
        <v>5</v>
      </c>
      <c r="H2" s="3" t="s">
        <v>6</v>
      </c>
    </row>
    <row r="3" spans="1:10" ht="28.8" x14ac:dyDescent="0.3">
      <c r="A3" s="1">
        <v>1</v>
      </c>
      <c r="B3" s="4">
        <v>46023</v>
      </c>
      <c r="C3" s="5" t="s">
        <v>7</v>
      </c>
      <c r="D3" s="5" t="s">
        <v>8</v>
      </c>
      <c r="E3" s="5" t="s">
        <v>9</v>
      </c>
      <c r="F3" s="5" t="s">
        <v>10</v>
      </c>
      <c r="G3" s="1">
        <v>2450</v>
      </c>
      <c r="H3" s="5" t="s">
        <v>11</v>
      </c>
    </row>
    <row r="4" spans="1:10" x14ac:dyDescent="0.3">
      <c r="A4" s="1">
        <v>2</v>
      </c>
      <c r="B4" s="4">
        <v>46024</v>
      </c>
      <c r="C4" s="5" t="s">
        <v>12</v>
      </c>
      <c r="D4" s="5" t="s">
        <v>13</v>
      </c>
      <c r="E4" s="5" t="s">
        <v>14</v>
      </c>
      <c r="F4" s="5" t="s">
        <v>15</v>
      </c>
      <c r="G4" s="1">
        <v>1200</v>
      </c>
      <c r="H4" s="5" t="s">
        <v>11</v>
      </c>
    </row>
    <row r="5" spans="1:10" x14ac:dyDescent="0.3">
      <c r="A5" s="1">
        <v>3</v>
      </c>
      <c r="B5" s="4">
        <v>46025</v>
      </c>
      <c r="C5" s="5" t="s">
        <v>7</v>
      </c>
      <c r="D5" s="5" t="s">
        <v>16</v>
      </c>
      <c r="E5" s="5" t="s">
        <v>9</v>
      </c>
      <c r="F5" s="5" t="s">
        <v>17</v>
      </c>
      <c r="G5" s="1">
        <v>650</v>
      </c>
      <c r="H5" s="5" t="s">
        <v>11</v>
      </c>
    </row>
    <row r="6" spans="1:10" x14ac:dyDescent="0.3">
      <c r="A6" s="1">
        <v>4</v>
      </c>
      <c r="B6" s="4">
        <v>46026</v>
      </c>
      <c r="C6" s="5" t="s">
        <v>18</v>
      </c>
      <c r="D6" s="5" t="s">
        <v>19</v>
      </c>
      <c r="E6" s="5" t="s">
        <v>9</v>
      </c>
      <c r="F6" s="5" t="s">
        <v>20</v>
      </c>
      <c r="G6" s="1">
        <v>1850</v>
      </c>
      <c r="H6" s="5" t="s">
        <v>11</v>
      </c>
    </row>
    <row r="7" spans="1:10" x14ac:dyDescent="0.3">
      <c r="A7" s="1">
        <v>5</v>
      </c>
      <c r="B7" s="4">
        <v>46027</v>
      </c>
      <c r="C7" s="5" t="s">
        <v>21</v>
      </c>
      <c r="D7" s="5" t="s">
        <v>22</v>
      </c>
      <c r="E7" s="5" t="s">
        <v>23</v>
      </c>
      <c r="F7" s="5" t="s">
        <v>24</v>
      </c>
      <c r="G7" s="1">
        <v>2200</v>
      </c>
      <c r="H7" s="5" t="s">
        <v>11</v>
      </c>
      <c r="J7" t="s">
        <v>73</v>
      </c>
    </row>
    <row r="8" spans="1:10" x14ac:dyDescent="0.3">
      <c r="A8" s="1">
        <v>6</v>
      </c>
      <c r="B8" s="4">
        <v>46028</v>
      </c>
      <c r="C8" s="5" t="s">
        <v>25</v>
      </c>
      <c r="D8" s="5" t="s">
        <v>26</v>
      </c>
      <c r="E8" s="5" t="s">
        <v>9</v>
      </c>
      <c r="F8" s="5" t="s">
        <v>27</v>
      </c>
      <c r="G8" s="1">
        <v>500</v>
      </c>
      <c r="H8" s="5" t="s">
        <v>11</v>
      </c>
      <c r="J8">
        <f>SUM(G:G)</f>
        <v>119617</v>
      </c>
    </row>
    <row r="9" spans="1:10" x14ac:dyDescent="0.3">
      <c r="A9" s="1">
        <v>7</v>
      </c>
      <c r="B9" s="4">
        <v>46029</v>
      </c>
      <c r="C9" s="5" t="s">
        <v>28</v>
      </c>
      <c r="D9" s="5" t="s">
        <v>29</v>
      </c>
      <c r="E9" s="5" t="s">
        <v>14</v>
      </c>
      <c r="F9" s="5" t="s">
        <v>30</v>
      </c>
      <c r="G9" s="1">
        <v>750</v>
      </c>
      <c r="H9" s="5" t="s">
        <v>11</v>
      </c>
    </row>
    <row r="10" spans="1:10" x14ac:dyDescent="0.3">
      <c r="A10" s="1">
        <v>8</v>
      </c>
      <c r="B10" s="4">
        <v>46030</v>
      </c>
      <c r="C10" s="5" t="s">
        <v>31</v>
      </c>
      <c r="D10" s="5" t="s">
        <v>32</v>
      </c>
      <c r="E10" s="5" t="s">
        <v>9</v>
      </c>
      <c r="F10" s="5" t="s">
        <v>33</v>
      </c>
      <c r="G10" s="1">
        <v>1800</v>
      </c>
      <c r="H10" s="5" t="s">
        <v>11</v>
      </c>
    </row>
    <row r="11" spans="1:10" x14ac:dyDescent="0.3">
      <c r="A11" s="1">
        <v>9</v>
      </c>
      <c r="B11" s="4">
        <v>46031</v>
      </c>
      <c r="C11" s="5" t="s">
        <v>12</v>
      </c>
      <c r="D11" s="5" t="s">
        <v>34</v>
      </c>
      <c r="E11" s="5" t="s">
        <v>9</v>
      </c>
      <c r="F11" s="5" t="s">
        <v>35</v>
      </c>
      <c r="G11" s="1">
        <v>420</v>
      </c>
      <c r="H11" s="5" t="s">
        <v>11</v>
      </c>
    </row>
    <row r="12" spans="1:10" x14ac:dyDescent="0.3">
      <c r="A12" s="1">
        <v>10</v>
      </c>
      <c r="B12" s="4">
        <v>46032</v>
      </c>
      <c r="C12" s="5" t="s">
        <v>7</v>
      </c>
      <c r="D12" s="5" t="s">
        <v>16</v>
      </c>
      <c r="E12" s="5" t="s">
        <v>23</v>
      </c>
      <c r="F12" s="5" t="s">
        <v>36</v>
      </c>
      <c r="G12" s="1">
        <v>480</v>
      </c>
      <c r="H12" s="5" t="s">
        <v>11</v>
      </c>
    </row>
    <row r="13" spans="1:10" x14ac:dyDescent="0.3">
      <c r="A13" s="1">
        <v>11</v>
      </c>
      <c r="B13" s="4">
        <v>46033</v>
      </c>
      <c r="C13" s="5" t="s">
        <v>18</v>
      </c>
      <c r="D13" s="5" t="s">
        <v>37</v>
      </c>
      <c r="E13" s="5" t="s">
        <v>9</v>
      </c>
      <c r="F13" s="5" t="s">
        <v>38</v>
      </c>
      <c r="G13" s="1">
        <v>799</v>
      </c>
      <c r="H13" s="5" t="s">
        <v>11</v>
      </c>
    </row>
    <row r="14" spans="1:10" x14ac:dyDescent="0.3">
      <c r="A14" s="1">
        <v>12</v>
      </c>
      <c r="B14" s="4">
        <v>46034</v>
      </c>
      <c r="C14" s="5" t="s">
        <v>21</v>
      </c>
      <c r="D14" s="5" t="s">
        <v>39</v>
      </c>
      <c r="E14" s="5" t="s">
        <v>23</v>
      </c>
      <c r="F14" s="5" t="s">
        <v>40</v>
      </c>
      <c r="G14" s="1">
        <v>1450</v>
      </c>
      <c r="H14" s="5" t="s">
        <v>11</v>
      </c>
    </row>
    <row r="15" spans="1:10" x14ac:dyDescent="0.3">
      <c r="A15" s="1">
        <v>13</v>
      </c>
      <c r="B15" s="4">
        <v>46035</v>
      </c>
      <c r="C15" s="5" t="s">
        <v>7</v>
      </c>
      <c r="D15" s="5" t="s">
        <v>8</v>
      </c>
      <c r="E15" s="5" t="s">
        <v>9</v>
      </c>
      <c r="F15" s="5" t="s">
        <v>41</v>
      </c>
      <c r="G15" s="1">
        <v>850</v>
      </c>
      <c r="H15" s="5" t="s">
        <v>11</v>
      </c>
    </row>
    <row r="16" spans="1:10" x14ac:dyDescent="0.3">
      <c r="A16" s="1">
        <v>14</v>
      </c>
      <c r="B16" s="4">
        <v>46036</v>
      </c>
      <c r="C16" s="5" t="s">
        <v>12</v>
      </c>
      <c r="D16" s="5" t="s">
        <v>13</v>
      </c>
      <c r="E16" s="5" t="s">
        <v>14</v>
      </c>
      <c r="F16" s="5" t="s">
        <v>15</v>
      </c>
      <c r="G16" s="1">
        <v>1100</v>
      </c>
      <c r="H16" s="5" t="s">
        <v>11</v>
      </c>
    </row>
    <row r="17" spans="1:8" ht="28.8" x14ac:dyDescent="0.3">
      <c r="A17" s="1">
        <v>15</v>
      </c>
      <c r="B17" s="4">
        <v>46037</v>
      </c>
      <c r="C17" s="5" t="s">
        <v>25</v>
      </c>
      <c r="D17" s="5" t="s">
        <v>42</v>
      </c>
      <c r="E17" s="5" t="s">
        <v>9</v>
      </c>
      <c r="F17" s="5" t="s">
        <v>43</v>
      </c>
      <c r="G17" s="1">
        <v>599</v>
      </c>
      <c r="H17" s="5" t="s">
        <v>11</v>
      </c>
    </row>
    <row r="18" spans="1:8" x14ac:dyDescent="0.3">
      <c r="A18" s="1">
        <v>16</v>
      </c>
      <c r="B18" s="4">
        <v>46038</v>
      </c>
      <c r="C18" s="5" t="s">
        <v>28</v>
      </c>
      <c r="D18" s="5" t="s">
        <v>44</v>
      </c>
      <c r="E18" s="5" t="s">
        <v>9</v>
      </c>
      <c r="F18" s="5" t="s">
        <v>45</v>
      </c>
      <c r="G18" s="1">
        <v>900</v>
      </c>
      <c r="H18" s="5" t="s">
        <v>11</v>
      </c>
    </row>
    <row r="19" spans="1:8" x14ac:dyDescent="0.3">
      <c r="A19" s="1">
        <v>17</v>
      </c>
      <c r="B19" s="4">
        <v>46039</v>
      </c>
      <c r="C19" s="5" t="s">
        <v>31</v>
      </c>
      <c r="D19" s="5" t="s">
        <v>46</v>
      </c>
      <c r="E19" s="5" t="s">
        <v>23</v>
      </c>
      <c r="F19" s="5" t="s">
        <v>46</v>
      </c>
      <c r="G19" s="1">
        <v>1250</v>
      </c>
      <c r="H19" s="5" t="s">
        <v>11</v>
      </c>
    </row>
    <row r="20" spans="1:8" x14ac:dyDescent="0.3">
      <c r="A20" s="1">
        <v>18</v>
      </c>
      <c r="B20" s="4">
        <v>46040</v>
      </c>
      <c r="C20" s="5" t="s">
        <v>7</v>
      </c>
      <c r="D20" s="5" t="s">
        <v>16</v>
      </c>
      <c r="E20" s="5" t="s">
        <v>9</v>
      </c>
      <c r="F20" s="5" t="s">
        <v>17</v>
      </c>
      <c r="G20" s="1">
        <v>720</v>
      </c>
      <c r="H20" s="5" t="s">
        <v>11</v>
      </c>
    </row>
    <row r="21" spans="1:8" x14ac:dyDescent="0.3">
      <c r="A21" s="1">
        <v>19</v>
      </c>
      <c r="B21" s="4">
        <v>46041</v>
      </c>
      <c r="C21" s="5" t="s">
        <v>12</v>
      </c>
      <c r="D21" s="5" t="s">
        <v>47</v>
      </c>
      <c r="E21" s="5" t="s">
        <v>14</v>
      </c>
      <c r="F21" s="5" t="s">
        <v>48</v>
      </c>
      <c r="G21" s="1">
        <v>600</v>
      </c>
      <c r="H21" s="5" t="s">
        <v>11</v>
      </c>
    </row>
    <row r="22" spans="1:8" x14ac:dyDescent="0.3">
      <c r="A22" s="1">
        <v>20</v>
      </c>
      <c r="B22" s="4">
        <v>46042</v>
      </c>
      <c r="C22" s="5" t="s">
        <v>21</v>
      </c>
      <c r="D22" s="5" t="s">
        <v>22</v>
      </c>
      <c r="E22" s="5" t="s">
        <v>23</v>
      </c>
      <c r="F22" s="5" t="s">
        <v>49</v>
      </c>
      <c r="G22" s="1">
        <v>2800</v>
      </c>
      <c r="H22" s="5" t="s">
        <v>11</v>
      </c>
    </row>
    <row r="23" spans="1:8" x14ac:dyDescent="0.3">
      <c r="A23" s="1">
        <v>21</v>
      </c>
      <c r="B23" s="4">
        <v>46043</v>
      </c>
      <c r="C23" s="5" t="s">
        <v>18</v>
      </c>
      <c r="D23" s="5" t="s">
        <v>19</v>
      </c>
      <c r="E23" s="5" t="s">
        <v>9</v>
      </c>
      <c r="F23" s="5" t="s">
        <v>20</v>
      </c>
      <c r="G23" s="1">
        <v>1650</v>
      </c>
      <c r="H23" s="5" t="s">
        <v>11</v>
      </c>
    </row>
    <row r="24" spans="1:8" x14ac:dyDescent="0.3">
      <c r="A24" s="1">
        <v>22</v>
      </c>
      <c r="B24" s="4">
        <v>46044</v>
      </c>
      <c r="C24" s="5" t="s">
        <v>7</v>
      </c>
      <c r="D24" s="5" t="s">
        <v>8</v>
      </c>
      <c r="E24" s="5" t="s">
        <v>9</v>
      </c>
      <c r="F24" s="5" t="s">
        <v>8</v>
      </c>
      <c r="G24" s="1">
        <v>2100</v>
      </c>
      <c r="H24" s="5" t="s">
        <v>11</v>
      </c>
    </row>
    <row r="25" spans="1:8" x14ac:dyDescent="0.3">
      <c r="A25" s="1">
        <v>23</v>
      </c>
      <c r="B25" s="4">
        <v>46045</v>
      </c>
      <c r="C25" s="5" t="s">
        <v>12</v>
      </c>
      <c r="D25" s="5" t="s">
        <v>34</v>
      </c>
      <c r="E25" s="5" t="s">
        <v>9</v>
      </c>
      <c r="F25" s="5" t="s">
        <v>35</v>
      </c>
      <c r="G25" s="1">
        <v>380</v>
      </c>
      <c r="H25" s="5" t="s">
        <v>11</v>
      </c>
    </row>
    <row r="26" spans="1:8" x14ac:dyDescent="0.3">
      <c r="A26" s="1">
        <v>24</v>
      </c>
      <c r="B26" s="4">
        <v>46046</v>
      </c>
      <c r="C26" s="5" t="s">
        <v>25</v>
      </c>
      <c r="D26" s="5" t="s">
        <v>26</v>
      </c>
      <c r="E26" s="5" t="s">
        <v>23</v>
      </c>
      <c r="F26" s="5" t="s">
        <v>50</v>
      </c>
      <c r="G26" s="1">
        <v>650</v>
      </c>
      <c r="H26" s="5" t="s">
        <v>11</v>
      </c>
    </row>
    <row r="27" spans="1:8" x14ac:dyDescent="0.3">
      <c r="A27" s="1">
        <v>25</v>
      </c>
      <c r="B27" s="4">
        <v>46047</v>
      </c>
      <c r="C27" s="5" t="s">
        <v>28</v>
      </c>
      <c r="D27" s="5" t="s">
        <v>29</v>
      </c>
      <c r="E27" s="5" t="s">
        <v>14</v>
      </c>
      <c r="F27" s="5" t="s">
        <v>29</v>
      </c>
      <c r="G27" s="1">
        <v>450</v>
      </c>
      <c r="H27" s="5" t="s">
        <v>11</v>
      </c>
    </row>
    <row r="28" spans="1:8" x14ac:dyDescent="0.3">
      <c r="A28" s="1">
        <v>26</v>
      </c>
      <c r="B28" s="4">
        <v>46048</v>
      </c>
      <c r="C28" s="5" t="s">
        <v>31</v>
      </c>
      <c r="D28" s="5" t="s">
        <v>32</v>
      </c>
      <c r="E28" s="5" t="s">
        <v>9</v>
      </c>
      <c r="F28" s="5" t="s">
        <v>51</v>
      </c>
      <c r="G28" s="1">
        <v>999</v>
      </c>
      <c r="H28" s="5" t="s">
        <v>11</v>
      </c>
    </row>
    <row r="29" spans="1:8" x14ac:dyDescent="0.3">
      <c r="A29" s="1">
        <v>27</v>
      </c>
      <c r="B29" s="4">
        <v>46049</v>
      </c>
      <c r="C29" s="5" t="s">
        <v>7</v>
      </c>
      <c r="D29" s="5" t="s">
        <v>16</v>
      </c>
      <c r="E29" s="5" t="s">
        <v>9</v>
      </c>
      <c r="F29" s="5" t="s">
        <v>36</v>
      </c>
      <c r="G29" s="1">
        <v>550</v>
      </c>
      <c r="H29" s="5" t="s">
        <v>11</v>
      </c>
    </row>
    <row r="30" spans="1:8" x14ac:dyDescent="0.3">
      <c r="A30" s="1">
        <v>28</v>
      </c>
      <c r="B30" s="4">
        <v>46050</v>
      </c>
      <c r="C30" s="5" t="s">
        <v>21</v>
      </c>
      <c r="D30" s="5" t="s">
        <v>39</v>
      </c>
      <c r="E30" s="5" t="s">
        <v>23</v>
      </c>
      <c r="F30" s="5" t="s">
        <v>52</v>
      </c>
      <c r="G30" s="1">
        <v>1750</v>
      </c>
      <c r="H30" s="5" t="s">
        <v>11</v>
      </c>
    </row>
    <row r="31" spans="1:8" ht="28.8" x14ac:dyDescent="0.3">
      <c r="A31" s="1">
        <v>29</v>
      </c>
      <c r="B31" s="4">
        <v>46051</v>
      </c>
      <c r="C31" s="5" t="s">
        <v>18</v>
      </c>
      <c r="D31" s="5" t="s">
        <v>53</v>
      </c>
      <c r="E31" s="5" t="s">
        <v>9</v>
      </c>
      <c r="F31" s="5" t="s">
        <v>54</v>
      </c>
      <c r="G31" s="1">
        <v>499</v>
      </c>
      <c r="H31" s="5" t="s">
        <v>11</v>
      </c>
    </row>
    <row r="32" spans="1:8" x14ac:dyDescent="0.3">
      <c r="A32" s="1">
        <v>30</v>
      </c>
      <c r="B32" s="4">
        <v>46052</v>
      </c>
      <c r="C32" s="5" t="s">
        <v>12</v>
      </c>
      <c r="D32" s="5" t="s">
        <v>13</v>
      </c>
      <c r="E32" s="5" t="s">
        <v>14</v>
      </c>
      <c r="F32" s="5" t="s">
        <v>15</v>
      </c>
      <c r="G32" s="1">
        <v>1300</v>
      </c>
      <c r="H32" s="5" t="s">
        <v>11</v>
      </c>
    </row>
    <row r="33" spans="1:8" x14ac:dyDescent="0.3">
      <c r="A33" s="1">
        <v>31</v>
      </c>
      <c r="B33" s="4">
        <v>46054</v>
      </c>
      <c r="C33" s="5" t="s">
        <v>7</v>
      </c>
      <c r="D33" s="5" t="s">
        <v>8</v>
      </c>
      <c r="E33" s="5" t="s">
        <v>9</v>
      </c>
      <c r="F33" s="5" t="s">
        <v>8</v>
      </c>
      <c r="G33" s="1">
        <v>2600</v>
      </c>
      <c r="H33" s="5" t="s">
        <v>11</v>
      </c>
    </row>
    <row r="34" spans="1:8" x14ac:dyDescent="0.3">
      <c r="A34" s="1">
        <v>32</v>
      </c>
      <c r="B34" s="4">
        <v>46055</v>
      </c>
      <c r="C34" s="5" t="s">
        <v>18</v>
      </c>
      <c r="D34" s="5" t="s">
        <v>19</v>
      </c>
      <c r="E34" s="5" t="s">
        <v>9</v>
      </c>
      <c r="F34" s="5" t="s">
        <v>19</v>
      </c>
      <c r="G34" s="1">
        <v>1920</v>
      </c>
      <c r="H34" s="5" t="s">
        <v>11</v>
      </c>
    </row>
    <row r="35" spans="1:8" x14ac:dyDescent="0.3">
      <c r="A35" s="1">
        <v>33</v>
      </c>
      <c r="B35" s="4">
        <v>46056</v>
      </c>
      <c r="C35" s="5" t="s">
        <v>12</v>
      </c>
      <c r="D35" s="5" t="s">
        <v>34</v>
      </c>
      <c r="E35" s="5" t="s">
        <v>9</v>
      </c>
      <c r="F35" s="5" t="s">
        <v>35</v>
      </c>
      <c r="G35" s="1">
        <v>450</v>
      </c>
      <c r="H35" s="5" t="s">
        <v>11</v>
      </c>
    </row>
    <row r="36" spans="1:8" x14ac:dyDescent="0.3">
      <c r="A36" s="1">
        <v>34</v>
      </c>
      <c r="B36" s="4">
        <v>46057</v>
      </c>
      <c r="C36" s="5" t="s">
        <v>21</v>
      </c>
      <c r="D36" s="5" t="s">
        <v>22</v>
      </c>
      <c r="E36" s="5" t="s">
        <v>23</v>
      </c>
      <c r="F36" s="5" t="s">
        <v>55</v>
      </c>
      <c r="G36" s="1">
        <v>3200</v>
      </c>
      <c r="H36" s="5" t="s">
        <v>11</v>
      </c>
    </row>
    <row r="37" spans="1:8" x14ac:dyDescent="0.3">
      <c r="A37" s="1">
        <v>35</v>
      </c>
      <c r="B37" s="4">
        <v>46058</v>
      </c>
      <c r="C37" s="5" t="s">
        <v>7</v>
      </c>
      <c r="D37" s="5" t="s">
        <v>16</v>
      </c>
      <c r="E37" s="5" t="s">
        <v>9</v>
      </c>
      <c r="F37" s="5" t="s">
        <v>17</v>
      </c>
      <c r="G37" s="1">
        <v>780</v>
      </c>
      <c r="H37" s="5" t="s">
        <v>11</v>
      </c>
    </row>
    <row r="38" spans="1:8" x14ac:dyDescent="0.3">
      <c r="A38" s="1">
        <v>36</v>
      </c>
      <c r="B38" s="4">
        <v>46059</v>
      </c>
      <c r="C38" s="5" t="s">
        <v>28</v>
      </c>
      <c r="D38" s="5" t="s">
        <v>44</v>
      </c>
      <c r="E38" s="5" t="s">
        <v>9</v>
      </c>
      <c r="F38" s="5" t="s">
        <v>56</v>
      </c>
      <c r="G38" s="1">
        <v>1000</v>
      </c>
      <c r="H38" s="5" t="s">
        <v>11</v>
      </c>
    </row>
    <row r="39" spans="1:8" x14ac:dyDescent="0.3">
      <c r="A39" s="1">
        <v>37</v>
      </c>
      <c r="B39" s="4">
        <v>46060</v>
      </c>
      <c r="C39" s="5" t="s">
        <v>31</v>
      </c>
      <c r="D39" s="5" t="s">
        <v>46</v>
      </c>
      <c r="E39" s="5" t="s">
        <v>23</v>
      </c>
      <c r="F39" s="5" t="s">
        <v>57</v>
      </c>
      <c r="G39" s="1">
        <v>950</v>
      </c>
      <c r="H39" s="5" t="s">
        <v>11</v>
      </c>
    </row>
    <row r="40" spans="1:8" x14ac:dyDescent="0.3">
      <c r="A40" s="1">
        <v>38</v>
      </c>
      <c r="B40" s="4">
        <v>46061</v>
      </c>
      <c r="C40" s="5" t="s">
        <v>25</v>
      </c>
      <c r="D40" s="5" t="s">
        <v>26</v>
      </c>
      <c r="E40" s="5" t="s">
        <v>9</v>
      </c>
      <c r="F40" s="5" t="s">
        <v>50</v>
      </c>
      <c r="G40" s="1">
        <v>550</v>
      </c>
      <c r="H40" s="5" t="s">
        <v>11</v>
      </c>
    </row>
    <row r="41" spans="1:8" x14ac:dyDescent="0.3">
      <c r="A41" s="1">
        <v>39</v>
      </c>
      <c r="B41" s="4">
        <v>46062</v>
      </c>
      <c r="C41" s="5" t="s">
        <v>12</v>
      </c>
      <c r="D41" s="5" t="s">
        <v>13</v>
      </c>
      <c r="E41" s="5" t="s">
        <v>14</v>
      </c>
      <c r="F41" s="5" t="s">
        <v>15</v>
      </c>
      <c r="G41" s="1">
        <v>1250</v>
      </c>
      <c r="H41" s="5" t="s">
        <v>11</v>
      </c>
    </row>
    <row r="42" spans="1:8" x14ac:dyDescent="0.3">
      <c r="A42" s="1">
        <v>40</v>
      </c>
      <c r="B42" s="4">
        <v>46063</v>
      </c>
      <c r="C42" s="5" t="s">
        <v>7</v>
      </c>
      <c r="D42" s="5" t="s">
        <v>8</v>
      </c>
      <c r="E42" s="5" t="s">
        <v>9</v>
      </c>
      <c r="F42" s="5" t="s">
        <v>58</v>
      </c>
      <c r="G42" s="1">
        <v>900</v>
      </c>
      <c r="H42" s="5" t="s">
        <v>11</v>
      </c>
    </row>
    <row r="43" spans="1:8" x14ac:dyDescent="0.3">
      <c r="A43" s="1">
        <v>41</v>
      </c>
      <c r="B43" s="4">
        <v>46064</v>
      </c>
      <c r="C43" s="5" t="s">
        <v>18</v>
      </c>
      <c r="D43" s="5" t="s">
        <v>37</v>
      </c>
      <c r="E43" s="5" t="s">
        <v>9</v>
      </c>
      <c r="F43" s="5" t="s">
        <v>37</v>
      </c>
      <c r="G43" s="1">
        <v>799</v>
      </c>
      <c r="H43" s="5" t="s">
        <v>11</v>
      </c>
    </row>
    <row r="44" spans="1:8" x14ac:dyDescent="0.3">
      <c r="A44" s="1">
        <v>42</v>
      </c>
      <c r="B44" s="4">
        <v>46065</v>
      </c>
      <c r="C44" s="5" t="s">
        <v>21</v>
      </c>
      <c r="D44" s="5" t="s">
        <v>39</v>
      </c>
      <c r="E44" s="5" t="s">
        <v>23</v>
      </c>
      <c r="F44" s="5" t="s">
        <v>59</v>
      </c>
      <c r="G44" s="1">
        <v>850</v>
      </c>
      <c r="H44" s="5" t="s">
        <v>11</v>
      </c>
    </row>
    <row r="45" spans="1:8" x14ac:dyDescent="0.3">
      <c r="A45" s="1">
        <v>43</v>
      </c>
      <c r="B45" s="4">
        <v>46066</v>
      </c>
      <c r="C45" s="5" t="s">
        <v>7</v>
      </c>
      <c r="D45" s="5" t="s">
        <v>16</v>
      </c>
      <c r="E45" s="5" t="s">
        <v>9</v>
      </c>
      <c r="F45" s="5" t="s">
        <v>36</v>
      </c>
      <c r="G45" s="1">
        <v>620</v>
      </c>
      <c r="H45" s="5" t="s">
        <v>11</v>
      </c>
    </row>
    <row r="46" spans="1:8" x14ac:dyDescent="0.3">
      <c r="A46" s="1">
        <v>44</v>
      </c>
      <c r="B46" s="4">
        <v>46067</v>
      </c>
      <c r="C46" s="5" t="s">
        <v>12</v>
      </c>
      <c r="D46" s="5" t="s">
        <v>47</v>
      </c>
      <c r="E46" s="5" t="s">
        <v>14</v>
      </c>
      <c r="F46" s="5" t="s">
        <v>48</v>
      </c>
      <c r="G46" s="1">
        <v>650</v>
      </c>
      <c r="H46" s="5" t="s">
        <v>11</v>
      </c>
    </row>
    <row r="47" spans="1:8" x14ac:dyDescent="0.3">
      <c r="A47" s="1">
        <v>45</v>
      </c>
      <c r="B47" s="4">
        <v>46068</v>
      </c>
      <c r="C47" s="5" t="s">
        <v>28</v>
      </c>
      <c r="D47" s="5" t="s">
        <v>29</v>
      </c>
      <c r="E47" s="5" t="s">
        <v>9</v>
      </c>
      <c r="F47" s="5" t="s">
        <v>30</v>
      </c>
      <c r="G47" s="1">
        <v>680</v>
      </c>
      <c r="H47" s="5" t="s">
        <v>11</v>
      </c>
    </row>
    <row r="48" spans="1:8" x14ac:dyDescent="0.3">
      <c r="A48" s="1">
        <v>46</v>
      </c>
      <c r="B48" s="4">
        <v>46069</v>
      </c>
      <c r="C48" s="5" t="s">
        <v>31</v>
      </c>
      <c r="D48" s="5" t="s">
        <v>32</v>
      </c>
      <c r="E48" s="5" t="s">
        <v>23</v>
      </c>
      <c r="F48" s="5" t="s">
        <v>60</v>
      </c>
      <c r="G48" s="1">
        <v>1500</v>
      </c>
      <c r="H48" s="5" t="s">
        <v>11</v>
      </c>
    </row>
    <row r="49" spans="1:8" x14ac:dyDescent="0.3">
      <c r="A49" s="1">
        <v>47</v>
      </c>
      <c r="B49" s="4">
        <v>46070</v>
      </c>
      <c r="C49" s="5" t="s">
        <v>25</v>
      </c>
      <c r="D49" s="5" t="s">
        <v>42</v>
      </c>
      <c r="E49" s="5" t="s">
        <v>9</v>
      </c>
      <c r="F49" s="5" t="s">
        <v>42</v>
      </c>
      <c r="G49" s="1">
        <v>750</v>
      </c>
      <c r="H49" s="5" t="s">
        <v>11</v>
      </c>
    </row>
    <row r="50" spans="1:8" x14ac:dyDescent="0.3">
      <c r="A50" s="1">
        <v>48</v>
      </c>
      <c r="B50" s="4">
        <v>46071</v>
      </c>
      <c r="C50" s="5" t="s">
        <v>7</v>
      </c>
      <c r="D50" s="5" t="s">
        <v>8</v>
      </c>
      <c r="E50" s="5" t="s">
        <v>9</v>
      </c>
      <c r="F50" s="5" t="s">
        <v>8</v>
      </c>
      <c r="G50" s="1">
        <v>2300</v>
      </c>
      <c r="H50" s="5" t="s">
        <v>11</v>
      </c>
    </row>
    <row r="51" spans="1:8" x14ac:dyDescent="0.3">
      <c r="A51" s="1">
        <v>49</v>
      </c>
      <c r="B51" s="4">
        <v>46072</v>
      </c>
      <c r="C51" s="5" t="s">
        <v>21</v>
      </c>
      <c r="D51" s="5" t="s">
        <v>22</v>
      </c>
      <c r="E51" s="5" t="s">
        <v>23</v>
      </c>
      <c r="F51" s="5" t="s">
        <v>61</v>
      </c>
      <c r="G51" s="1">
        <v>1100</v>
      </c>
      <c r="H51" s="5" t="s">
        <v>11</v>
      </c>
    </row>
    <row r="52" spans="1:8" x14ac:dyDescent="0.3">
      <c r="A52" s="1">
        <v>50</v>
      </c>
      <c r="B52" s="4">
        <v>46073</v>
      </c>
      <c r="C52" s="5" t="s">
        <v>18</v>
      </c>
      <c r="D52" s="5" t="s">
        <v>53</v>
      </c>
      <c r="E52" s="5" t="s">
        <v>9</v>
      </c>
      <c r="F52" s="5" t="s">
        <v>62</v>
      </c>
      <c r="G52" s="1">
        <v>599</v>
      </c>
      <c r="H52" s="5" t="s">
        <v>11</v>
      </c>
    </row>
    <row r="53" spans="1:8" x14ac:dyDescent="0.3">
      <c r="A53" s="1">
        <v>51</v>
      </c>
      <c r="B53" s="4">
        <v>46074</v>
      </c>
      <c r="C53" s="5" t="s">
        <v>12</v>
      </c>
      <c r="D53" s="5" t="s">
        <v>13</v>
      </c>
      <c r="E53" s="5" t="s">
        <v>14</v>
      </c>
      <c r="F53" s="5" t="s">
        <v>15</v>
      </c>
      <c r="G53" s="1">
        <v>1150</v>
      </c>
      <c r="H53" s="5" t="s">
        <v>11</v>
      </c>
    </row>
    <row r="54" spans="1:8" x14ac:dyDescent="0.3">
      <c r="A54" s="1">
        <v>52</v>
      </c>
      <c r="B54" s="4">
        <v>46075</v>
      </c>
      <c r="C54" s="5" t="s">
        <v>7</v>
      </c>
      <c r="D54" s="5" t="s">
        <v>16</v>
      </c>
      <c r="E54" s="5" t="s">
        <v>9</v>
      </c>
      <c r="F54" s="5" t="s">
        <v>17</v>
      </c>
      <c r="G54" s="1">
        <v>850</v>
      </c>
      <c r="H54" s="5" t="s">
        <v>11</v>
      </c>
    </row>
    <row r="55" spans="1:8" x14ac:dyDescent="0.3">
      <c r="A55" s="1">
        <v>53</v>
      </c>
      <c r="B55" s="4">
        <v>46076</v>
      </c>
      <c r="C55" s="5" t="s">
        <v>18</v>
      </c>
      <c r="D55" s="5" t="s">
        <v>19</v>
      </c>
      <c r="E55" s="5" t="s">
        <v>9</v>
      </c>
      <c r="F55" s="5" t="s">
        <v>19</v>
      </c>
      <c r="G55" s="1">
        <v>1780</v>
      </c>
      <c r="H55" s="5" t="s">
        <v>11</v>
      </c>
    </row>
    <row r="56" spans="1:8" x14ac:dyDescent="0.3">
      <c r="A56" s="1">
        <v>54</v>
      </c>
      <c r="B56" s="4">
        <v>46077</v>
      </c>
      <c r="C56" s="5" t="s">
        <v>28</v>
      </c>
      <c r="D56" s="5" t="s">
        <v>44</v>
      </c>
      <c r="E56" s="5" t="s">
        <v>9</v>
      </c>
      <c r="F56" s="5" t="s">
        <v>45</v>
      </c>
      <c r="G56" s="1">
        <v>800</v>
      </c>
      <c r="H56" s="5" t="s">
        <v>11</v>
      </c>
    </row>
    <row r="57" spans="1:8" x14ac:dyDescent="0.3">
      <c r="A57" s="1">
        <v>55</v>
      </c>
      <c r="B57" s="4">
        <v>46078</v>
      </c>
      <c r="C57" s="5" t="s">
        <v>31</v>
      </c>
      <c r="D57" s="5" t="s">
        <v>46</v>
      </c>
      <c r="E57" s="5" t="s">
        <v>23</v>
      </c>
      <c r="F57" s="5" t="s">
        <v>46</v>
      </c>
      <c r="G57" s="1">
        <v>1350</v>
      </c>
      <c r="H57" s="5" t="s">
        <v>11</v>
      </c>
    </row>
    <row r="58" spans="1:8" x14ac:dyDescent="0.3">
      <c r="A58" s="1">
        <v>56</v>
      </c>
      <c r="B58" s="4">
        <v>46079</v>
      </c>
      <c r="C58" s="5" t="s">
        <v>25</v>
      </c>
      <c r="D58" s="5" t="s">
        <v>26</v>
      </c>
      <c r="E58" s="5" t="s">
        <v>9</v>
      </c>
      <c r="F58" s="5" t="s">
        <v>27</v>
      </c>
      <c r="G58" s="1">
        <v>600</v>
      </c>
      <c r="H58" s="5" t="s">
        <v>11</v>
      </c>
    </row>
    <row r="59" spans="1:8" x14ac:dyDescent="0.3">
      <c r="A59" s="1">
        <v>57</v>
      </c>
      <c r="B59" s="4">
        <v>46080</v>
      </c>
      <c r="C59" s="5" t="s">
        <v>12</v>
      </c>
      <c r="D59" s="5" t="s">
        <v>34</v>
      </c>
      <c r="E59" s="5" t="s">
        <v>9</v>
      </c>
      <c r="F59" s="5" t="s">
        <v>34</v>
      </c>
      <c r="G59" s="1">
        <v>490</v>
      </c>
      <c r="H59" s="5" t="s">
        <v>11</v>
      </c>
    </row>
    <row r="60" spans="1:8" x14ac:dyDescent="0.3">
      <c r="A60" s="1">
        <v>58</v>
      </c>
      <c r="B60" s="4">
        <v>46081</v>
      </c>
      <c r="C60" s="5" t="s">
        <v>7</v>
      </c>
      <c r="D60" s="5" t="s">
        <v>8</v>
      </c>
      <c r="E60" s="5" t="s">
        <v>9</v>
      </c>
      <c r="F60" s="5" t="s">
        <v>8</v>
      </c>
      <c r="G60" s="1">
        <v>2750</v>
      </c>
      <c r="H60" s="5" t="s">
        <v>11</v>
      </c>
    </row>
    <row r="61" spans="1:8" x14ac:dyDescent="0.3">
      <c r="A61" s="1">
        <v>59</v>
      </c>
      <c r="B61" s="4">
        <v>46082</v>
      </c>
      <c r="C61" s="5" t="s">
        <v>21</v>
      </c>
      <c r="D61" s="5" t="s">
        <v>39</v>
      </c>
      <c r="E61" s="5" t="s">
        <v>23</v>
      </c>
      <c r="F61" s="5" t="s">
        <v>63</v>
      </c>
      <c r="G61" s="1">
        <v>3500</v>
      </c>
      <c r="H61" s="5" t="s">
        <v>11</v>
      </c>
    </row>
    <row r="62" spans="1:8" x14ac:dyDescent="0.3">
      <c r="A62" s="1">
        <v>60</v>
      </c>
      <c r="B62" s="4">
        <v>46083</v>
      </c>
      <c r="C62" s="5" t="s">
        <v>18</v>
      </c>
      <c r="D62" s="5" t="s">
        <v>37</v>
      </c>
      <c r="E62" s="5" t="s">
        <v>9</v>
      </c>
      <c r="F62" s="5" t="s">
        <v>37</v>
      </c>
      <c r="G62" s="1">
        <v>799</v>
      </c>
      <c r="H62" s="5" t="s">
        <v>11</v>
      </c>
    </row>
    <row r="63" spans="1:8" x14ac:dyDescent="0.3">
      <c r="A63" s="1">
        <v>61</v>
      </c>
      <c r="B63" s="4">
        <v>46084</v>
      </c>
      <c r="C63" s="5" t="s">
        <v>7</v>
      </c>
      <c r="D63" s="5" t="s">
        <v>16</v>
      </c>
      <c r="E63" s="5" t="s">
        <v>9</v>
      </c>
      <c r="F63" s="5" t="s">
        <v>36</v>
      </c>
      <c r="G63" s="1">
        <v>580</v>
      </c>
      <c r="H63" s="5" t="s">
        <v>11</v>
      </c>
    </row>
    <row r="64" spans="1:8" x14ac:dyDescent="0.3">
      <c r="A64" s="1">
        <v>62</v>
      </c>
      <c r="B64" s="4">
        <v>46085</v>
      </c>
      <c r="C64" s="5" t="s">
        <v>12</v>
      </c>
      <c r="D64" s="5" t="s">
        <v>13</v>
      </c>
      <c r="E64" s="5" t="s">
        <v>14</v>
      </c>
      <c r="F64" s="5" t="s">
        <v>15</v>
      </c>
      <c r="G64" s="1">
        <v>1400</v>
      </c>
      <c r="H64" s="5" t="s">
        <v>11</v>
      </c>
    </row>
    <row r="65" spans="1:8" x14ac:dyDescent="0.3">
      <c r="A65" s="1">
        <v>63</v>
      </c>
      <c r="B65" s="4">
        <v>46086</v>
      </c>
      <c r="C65" s="5" t="s">
        <v>28</v>
      </c>
      <c r="D65" s="5" t="s">
        <v>29</v>
      </c>
      <c r="E65" s="5" t="s">
        <v>9</v>
      </c>
      <c r="F65" s="5" t="s">
        <v>30</v>
      </c>
      <c r="G65" s="1">
        <v>550</v>
      </c>
      <c r="H65" s="5" t="s">
        <v>11</v>
      </c>
    </row>
    <row r="66" spans="1:8" x14ac:dyDescent="0.3">
      <c r="A66" s="1">
        <v>64</v>
      </c>
      <c r="B66" s="4">
        <v>46087</v>
      </c>
      <c r="C66" s="5" t="s">
        <v>31</v>
      </c>
      <c r="D66" s="5" t="s">
        <v>32</v>
      </c>
      <c r="E66" s="5" t="s">
        <v>23</v>
      </c>
      <c r="F66" s="5" t="s">
        <v>33</v>
      </c>
      <c r="G66" s="1">
        <v>1200</v>
      </c>
      <c r="H66" s="5" t="s">
        <v>11</v>
      </c>
    </row>
    <row r="67" spans="1:8" x14ac:dyDescent="0.3">
      <c r="A67" s="1">
        <v>65</v>
      </c>
      <c r="B67" s="4">
        <v>46088</v>
      </c>
      <c r="C67" s="5" t="s">
        <v>25</v>
      </c>
      <c r="D67" s="5" t="s">
        <v>42</v>
      </c>
      <c r="E67" s="5" t="s">
        <v>9</v>
      </c>
      <c r="F67" s="5" t="s">
        <v>64</v>
      </c>
      <c r="G67" s="1">
        <v>499</v>
      </c>
      <c r="H67" s="5" t="s">
        <v>11</v>
      </c>
    </row>
    <row r="68" spans="1:8" x14ac:dyDescent="0.3">
      <c r="A68" s="1">
        <v>66</v>
      </c>
      <c r="B68" s="4">
        <v>46089</v>
      </c>
      <c r="C68" s="5" t="s">
        <v>7</v>
      </c>
      <c r="D68" s="5" t="s">
        <v>8</v>
      </c>
      <c r="E68" s="5" t="s">
        <v>9</v>
      </c>
      <c r="F68" s="5" t="s">
        <v>8</v>
      </c>
      <c r="G68" s="1">
        <v>2400</v>
      </c>
      <c r="H68" s="5" t="s">
        <v>11</v>
      </c>
    </row>
    <row r="69" spans="1:8" x14ac:dyDescent="0.3">
      <c r="A69" s="1">
        <v>67</v>
      </c>
      <c r="B69" s="4">
        <v>46090</v>
      </c>
      <c r="C69" s="5" t="s">
        <v>21</v>
      </c>
      <c r="D69" s="5" t="s">
        <v>22</v>
      </c>
      <c r="E69" s="5" t="s">
        <v>23</v>
      </c>
      <c r="F69" s="5" t="s">
        <v>65</v>
      </c>
      <c r="G69" s="1">
        <v>1900</v>
      </c>
      <c r="H69" s="5" t="s">
        <v>11</v>
      </c>
    </row>
    <row r="70" spans="1:8" x14ac:dyDescent="0.3">
      <c r="A70" s="1">
        <v>68</v>
      </c>
      <c r="B70" s="4">
        <v>46091</v>
      </c>
      <c r="C70" s="5" t="s">
        <v>18</v>
      </c>
      <c r="D70" s="5" t="s">
        <v>53</v>
      </c>
      <c r="E70" s="5" t="s">
        <v>9</v>
      </c>
      <c r="F70" s="5" t="s">
        <v>62</v>
      </c>
      <c r="G70" s="1">
        <v>499</v>
      </c>
      <c r="H70" s="5" t="s">
        <v>11</v>
      </c>
    </row>
    <row r="71" spans="1:8" x14ac:dyDescent="0.3">
      <c r="A71" s="1">
        <v>69</v>
      </c>
      <c r="B71" s="4">
        <v>46092</v>
      </c>
      <c r="C71" s="5" t="s">
        <v>12</v>
      </c>
      <c r="D71" s="5" t="s">
        <v>34</v>
      </c>
      <c r="E71" s="5" t="s">
        <v>9</v>
      </c>
      <c r="F71" s="5" t="s">
        <v>35</v>
      </c>
      <c r="G71" s="1">
        <v>520</v>
      </c>
      <c r="H71" s="5" t="s">
        <v>11</v>
      </c>
    </row>
    <row r="72" spans="1:8" x14ac:dyDescent="0.3">
      <c r="A72" s="1">
        <v>70</v>
      </c>
      <c r="B72" s="4">
        <v>46093</v>
      </c>
      <c r="C72" s="5" t="s">
        <v>7</v>
      </c>
      <c r="D72" s="5" t="s">
        <v>16</v>
      </c>
      <c r="E72" s="5" t="s">
        <v>23</v>
      </c>
      <c r="F72" s="5" t="s">
        <v>17</v>
      </c>
      <c r="G72" s="1">
        <v>920</v>
      </c>
      <c r="H72" s="5" t="s">
        <v>11</v>
      </c>
    </row>
    <row r="73" spans="1:8" x14ac:dyDescent="0.3">
      <c r="A73" s="1">
        <v>71</v>
      </c>
      <c r="B73" s="4">
        <v>46094</v>
      </c>
      <c r="C73" s="5" t="s">
        <v>18</v>
      </c>
      <c r="D73" s="5" t="s">
        <v>19</v>
      </c>
      <c r="E73" s="5" t="s">
        <v>9</v>
      </c>
      <c r="F73" s="5" t="s">
        <v>19</v>
      </c>
      <c r="G73" s="1">
        <v>2100</v>
      </c>
      <c r="H73" s="5" t="s">
        <v>11</v>
      </c>
    </row>
    <row r="74" spans="1:8" x14ac:dyDescent="0.3">
      <c r="A74" s="1">
        <v>72</v>
      </c>
      <c r="B74" s="4">
        <v>46095</v>
      </c>
      <c r="C74" s="5" t="s">
        <v>28</v>
      </c>
      <c r="D74" s="5" t="s">
        <v>44</v>
      </c>
      <c r="E74" s="5" t="s">
        <v>9</v>
      </c>
      <c r="F74" s="5" t="s">
        <v>66</v>
      </c>
      <c r="G74" s="1">
        <v>1100</v>
      </c>
      <c r="H74" s="5" t="s">
        <v>11</v>
      </c>
    </row>
    <row r="75" spans="1:8" x14ac:dyDescent="0.3">
      <c r="A75" s="1">
        <v>73</v>
      </c>
      <c r="B75" s="4">
        <v>46096</v>
      </c>
      <c r="C75" s="5" t="s">
        <v>31</v>
      </c>
      <c r="D75" s="5" t="s">
        <v>46</v>
      </c>
      <c r="E75" s="5" t="s">
        <v>23</v>
      </c>
      <c r="F75" s="5" t="s">
        <v>46</v>
      </c>
      <c r="G75" s="1">
        <v>850</v>
      </c>
      <c r="H75" s="5" t="s">
        <v>11</v>
      </c>
    </row>
    <row r="76" spans="1:8" x14ac:dyDescent="0.3">
      <c r="A76" s="1">
        <v>74</v>
      </c>
      <c r="B76" s="4">
        <v>46097</v>
      </c>
      <c r="C76" s="5" t="s">
        <v>25</v>
      </c>
      <c r="D76" s="5" t="s">
        <v>26</v>
      </c>
      <c r="E76" s="5" t="s">
        <v>9</v>
      </c>
      <c r="F76" s="5" t="s">
        <v>50</v>
      </c>
      <c r="G76" s="1">
        <v>700</v>
      </c>
      <c r="H76" s="5" t="s">
        <v>11</v>
      </c>
    </row>
    <row r="77" spans="1:8" x14ac:dyDescent="0.3">
      <c r="A77" s="1">
        <v>75</v>
      </c>
      <c r="B77" s="4">
        <v>46098</v>
      </c>
      <c r="C77" s="5" t="s">
        <v>12</v>
      </c>
      <c r="D77" s="5" t="s">
        <v>13</v>
      </c>
      <c r="E77" s="5" t="s">
        <v>14</v>
      </c>
      <c r="F77" s="5" t="s">
        <v>15</v>
      </c>
      <c r="G77" s="1">
        <v>1350</v>
      </c>
      <c r="H77" s="5" t="s">
        <v>11</v>
      </c>
    </row>
    <row r="78" spans="1:8" x14ac:dyDescent="0.3">
      <c r="A78" s="1">
        <v>76</v>
      </c>
      <c r="B78" s="4">
        <v>46099</v>
      </c>
      <c r="C78" s="5" t="s">
        <v>7</v>
      </c>
      <c r="D78" s="5" t="s">
        <v>8</v>
      </c>
      <c r="E78" s="5" t="s">
        <v>9</v>
      </c>
      <c r="F78" s="5" t="s">
        <v>8</v>
      </c>
      <c r="G78" s="1">
        <v>2900</v>
      </c>
      <c r="H78" s="5" t="s">
        <v>11</v>
      </c>
    </row>
    <row r="79" spans="1:8" x14ac:dyDescent="0.3">
      <c r="A79" s="1">
        <v>77</v>
      </c>
      <c r="B79" s="4">
        <v>46100</v>
      </c>
      <c r="C79" s="5" t="s">
        <v>21</v>
      </c>
      <c r="D79" s="5" t="s">
        <v>39</v>
      </c>
      <c r="E79" s="5" t="s">
        <v>23</v>
      </c>
      <c r="F79" s="5" t="s">
        <v>67</v>
      </c>
      <c r="G79" s="1">
        <v>2400</v>
      </c>
      <c r="H79" s="5" t="s">
        <v>11</v>
      </c>
    </row>
    <row r="80" spans="1:8" x14ac:dyDescent="0.3">
      <c r="A80" s="1">
        <v>78</v>
      </c>
      <c r="B80" s="4">
        <v>46101</v>
      </c>
      <c r="C80" s="5" t="s">
        <v>18</v>
      </c>
      <c r="D80" s="5" t="s">
        <v>37</v>
      </c>
      <c r="E80" s="5" t="s">
        <v>9</v>
      </c>
      <c r="F80" s="5" t="s">
        <v>37</v>
      </c>
      <c r="G80" s="1">
        <v>799</v>
      </c>
      <c r="H80" s="5" t="s">
        <v>11</v>
      </c>
    </row>
    <row r="81" spans="1:8" x14ac:dyDescent="0.3">
      <c r="A81" s="1">
        <v>79</v>
      </c>
      <c r="B81" s="4">
        <v>46102</v>
      </c>
      <c r="C81" s="5" t="s">
        <v>7</v>
      </c>
      <c r="D81" s="5" t="s">
        <v>16</v>
      </c>
      <c r="E81" s="5" t="s">
        <v>9</v>
      </c>
      <c r="F81" s="5" t="s">
        <v>36</v>
      </c>
      <c r="G81" s="1">
        <v>650</v>
      </c>
      <c r="H81" s="5" t="s">
        <v>11</v>
      </c>
    </row>
    <row r="82" spans="1:8" x14ac:dyDescent="0.3">
      <c r="A82" s="1">
        <v>80</v>
      </c>
      <c r="B82" s="4">
        <v>46103</v>
      </c>
      <c r="C82" s="5" t="s">
        <v>12</v>
      </c>
      <c r="D82" s="5" t="s">
        <v>47</v>
      </c>
      <c r="E82" s="5" t="s">
        <v>14</v>
      </c>
      <c r="F82" s="5" t="s">
        <v>47</v>
      </c>
      <c r="G82" s="1">
        <v>550</v>
      </c>
      <c r="H82" s="5" t="s">
        <v>11</v>
      </c>
    </row>
    <row r="83" spans="1:8" x14ac:dyDescent="0.3">
      <c r="A83" s="1">
        <v>81</v>
      </c>
      <c r="B83" s="4">
        <v>46104</v>
      </c>
      <c r="C83" s="5" t="s">
        <v>28</v>
      </c>
      <c r="D83" s="5" t="s">
        <v>29</v>
      </c>
      <c r="E83" s="5" t="s">
        <v>9</v>
      </c>
      <c r="F83" s="5" t="s">
        <v>30</v>
      </c>
      <c r="G83" s="1">
        <v>720</v>
      </c>
      <c r="H83" s="5" t="s">
        <v>11</v>
      </c>
    </row>
    <row r="84" spans="1:8" x14ac:dyDescent="0.3">
      <c r="A84" s="1">
        <v>82</v>
      </c>
      <c r="B84" s="4">
        <v>46105</v>
      </c>
      <c r="C84" s="5" t="s">
        <v>31</v>
      </c>
      <c r="D84" s="5" t="s">
        <v>32</v>
      </c>
      <c r="E84" s="5" t="s">
        <v>23</v>
      </c>
      <c r="F84" s="5" t="s">
        <v>68</v>
      </c>
      <c r="G84" s="1">
        <v>2000</v>
      </c>
      <c r="H84" s="5" t="s">
        <v>11</v>
      </c>
    </row>
    <row r="85" spans="1:8" x14ac:dyDescent="0.3">
      <c r="A85" s="1">
        <v>83</v>
      </c>
      <c r="B85" s="4">
        <v>46106</v>
      </c>
      <c r="C85" s="5" t="s">
        <v>25</v>
      </c>
      <c r="D85" s="5" t="s">
        <v>42</v>
      </c>
      <c r="E85" s="5" t="s">
        <v>9</v>
      </c>
      <c r="F85" s="5" t="s">
        <v>69</v>
      </c>
      <c r="G85" s="1">
        <v>699</v>
      </c>
      <c r="H85" s="5" t="s">
        <v>11</v>
      </c>
    </row>
    <row r="86" spans="1:8" x14ac:dyDescent="0.3">
      <c r="A86" s="1">
        <v>84</v>
      </c>
      <c r="B86" s="4">
        <v>46107</v>
      </c>
      <c r="C86" s="5" t="s">
        <v>7</v>
      </c>
      <c r="D86" s="5" t="s">
        <v>8</v>
      </c>
      <c r="E86" s="5" t="s">
        <v>9</v>
      </c>
      <c r="F86" s="5" t="s">
        <v>8</v>
      </c>
      <c r="G86" s="1">
        <v>2550</v>
      </c>
      <c r="H86" s="5" t="s">
        <v>11</v>
      </c>
    </row>
    <row r="87" spans="1:8" x14ac:dyDescent="0.3">
      <c r="A87" s="1">
        <v>85</v>
      </c>
      <c r="B87" s="4">
        <v>46108</v>
      </c>
      <c r="C87" s="5" t="s">
        <v>21</v>
      </c>
      <c r="D87" s="5" t="s">
        <v>22</v>
      </c>
      <c r="E87" s="5" t="s">
        <v>23</v>
      </c>
      <c r="F87" s="5" t="s">
        <v>70</v>
      </c>
      <c r="G87" s="1">
        <v>1400</v>
      </c>
      <c r="H87" s="5" t="s">
        <v>11</v>
      </c>
    </row>
    <row r="88" spans="1:8" x14ac:dyDescent="0.3">
      <c r="A88" s="1">
        <v>86</v>
      </c>
      <c r="B88" s="4">
        <v>46109</v>
      </c>
      <c r="C88" s="5" t="s">
        <v>18</v>
      </c>
      <c r="D88" s="5" t="s">
        <v>53</v>
      </c>
      <c r="E88" s="5" t="s">
        <v>9</v>
      </c>
      <c r="F88" s="5" t="s">
        <v>62</v>
      </c>
      <c r="G88" s="1">
        <v>599</v>
      </c>
      <c r="H88" s="5" t="s">
        <v>11</v>
      </c>
    </row>
    <row r="89" spans="1:8" x14ac:dyDescent="0.3">
      <c r="A89" s="1">
        <v>87</v>
      </c>
      <c r="B89" s="4">
        <v>46110</v>
      </c>
      <c r="C89" s="5" t="s">
        <v>12</v>
      </c>
      <c r="D89" s="5" t="s">
        <v>13</v>
      </c>
      <c r="E89" s="5" t="s">
        <v>14</v>
      </c>
      <c r="F89" s="5" t="s">
        <v>15</v>
      </c>
      <c r="G89" s="1">
        <v>1200</v>
      </c>
      <c r="H89" s="5" t="s">
        <v>11</v>
      </c>
    </row>
    <row r="90" spans="1:8" x14ac:dyDescent="0.3">
      <c r="A90" s="1">
        <v>88</v>
      </c>
      <c r="B90" s="4">
        <v>46111</v>
      </c>
      <c r="C90" s="5" t="s">
        <v>7</v>
      </c>
      <c r="D90" s="5" t="s">
        <v>16</v>
      </c>
      <c r="E90" s="5" t="s">
        <v>9</v>
      </c>
      <c r="F90" s="5" t="s">
        <v>17</v>
      </c>
      <c r="G90" s="1">
        <v>880</v>
      </c>
      <c r="H90" s="5" t="s">
        <v>11</v>
      </c>
    </row>
    <row r="91" spans="1:8" x14ac:dyDescent="0.3">
      <c r="A91" s="1">
        <v>89</v>
      </c>
      <c r="B91" s="4">
        <v>46112</v>
      </c>
      <c r="C91" s="5" t="s">
        <v>18</v>
      </c>
      <c r="D91" s="5" t="s">
        <v>19</v>
      </c>
      <c r="E91" s="5" t="s">
        <v>9</v>
      </c>
      <c r="F91" s="5" t="s">
        <v>19</v>
      </c>
      <c r="G91" s="1">
        <v>1950</v>
      </c>
      <c r="H91" s="5" t="s">
        <v>11</v>
      </c>
    </row>
    <row r="92" spans="1:8" x14ac:dyDescent="0.3">
      <c r="A92" s="1">
        <v>90</v>
      </c>
      <c r="B92" s="4">
        <v>46113</v>
      </c>
      <c r="C92" s="5" t="s">
        <v>28</v>
      </c>
      <c r="D92" s="5" t="s">
        <v>44</v>
      </c>
      <c r="E92" s="5" t="s">
        <v>9</v>
      </c>
      <c r="F92" s="5" t="s">
        <v>56</v>
      </c>
      <c r="G92" s="1">
        <v>950</v>
      </c>
      <c r="H92" s="5" t="s">
        <v>11</v>
      </c>
    </row>
    <row r="93" spans="1:8" x14ac:dyDescent="0.3">
      <c r="A93" s="1">
        <v>91</v>
      </c>
      <c r="B93" s="4">
        <v>46114</v>
      </c>
      <c r="C93" s="5" t="s">
        <v>31</v>
      </c>
      <c r="D93" s="5" t="s">
        <v>46</v>
      </c>
      <c r="E93" s="5" t="s">
        <v>23</v>
      </c>
      <c r="F93" s="5" t="s">
        <v>46</v>
      </c>
      <c r="G93" s="1">
        <v>1150</v>
      </c>
      <c r="H93" s="5" t="s">
        <v>11</v>
      </c>
    </row>
    <row r="94" spans="1:8" x14ac:dyDescent="0.3">
      <c r="A94" s="1">
        <v>92</v>
      </c>
      <c r="B94" s="4">
        <v>46115</v>
      </c>
      <c r="C94" s="5" t="s">
        <v>25</v>
      </c>
      <c r="D94" s="5" t="s">
        <v>26</v>
      </c>
      <c r="E94" s="5" t="s">
        <v>9</v>
      </c>
      <c r="F94" s="5" t="s">
        <v>50</v>
      </c>
      <c r="G94" s="1">
        <v>600</v>
      </c>
      <c r="H94" s="5" t="s">
        <v>11</v>
      </c>
    </row>
    <row r="95" spans="1:8" x14ac:dyDescent="0.3">
      <c r="A95" s="1">
        <v>93</v>
      </c>
      <c r="B95" s="4">
        <v>46116</v>
      </c>
      <c r="C95" s="5" t="s">
        <v>12</v>
      </c>
      <c r="D95" s="5" t="s">
        <v>34</v>
      </c>
      <c r="E95" s="5" t="s">
        <v>9</v>
      </c>
      <c r="F95" s="5" t="s">
        <v>34</v>
      </c>
      <c r="G95" s="1">
        <v>430</v>
      </c>
      <c r="H95" s="5" t="s">
        <v>11</v>
      </c>
    </row>
    <row r="96" spans="1:8" x14ac:dyDescent="0.3">
      <c r="A96" s="1">
        <v>94</v>
      </c>
      <c r="B96" s="4">
        <v>46117</v>
      </c>
      <c r="C96" s="5" t="s">
        <v>7</v>
      </c>
      <c r="D96" s="5" t="s">
        <v>8</v>
      </c>
      <c r="E96" s="5" t="s">
        <v>9</v>
      </c>
      <c r="F96" s="5" t="s">
        <v>8</v>
      </c>
      <c r="G96" s="1">
        <v>2850</v>
      </c>
      <c r="H96" s="5" t="s">
        <v>11</v>
      </c>
    </row>
    <row r="97" spans="1:8" x14ac:dyDescent="0.3">
      <c r="A97" s="1">
        <v>95</v>
      </c>
      <c r="B97" s="4">
        <v>46118</v>
      </c>
      <c r="C97" s="5" t="s">
        <v>21</v>
      </c>
      <c r="D97" s="5" t="s">
        <v>39</v>
      </c>
      <c r="E97" s="5" t="s">
        <v>23</v>
      </c>
      <c r="F97" s="5" t="s">
        <v>71</v>
      </c>
      <c r="G97" s="1">
        <v>1600</v>
      </c>
      <c r="H97" s="5" t="s">
        <v>11</v>
      </c>
    </row>
    <row r="98" spans="1:8" x14ac:dyDescent="0.3">
      <c r="A98" s="1">
        <v>96</v>
      </c>
      <c r="B98" s="4">
        <v>46119</v>
      </c>
      <c r="C98" s="5" t="s">
        <v>18</v>
      </c>
      <c r="D98" s="5" t="s">
        <v>37</v>
      </c>
      <c r="E98" s="5" t="s">
        <v>9</v>
      </c>
      <c r="F98" s="5" t="s">
        <v>37</v>
      </c>
      <c r="G98" s="1">
        <v>799</v>
      </c>
      <c r="H98" s="5" t="s">
        <v>11</v>
      </c>
    </row>
    <row r="99" spans="1:8" x14ac:dyDescent="0.3">
      <c r="A99" s="1">
        <v>97</v>
      </c>
      <c r="B99" s="4">
        <v>46120</v>
      </c>
      <c r="C99" s="5" t="s">
        <v>7</v>
      </c>
      <c r="D99" s="5" t="s">
        <v>16</v>
      </c>
      <c r="E99" s="5" t="s">
        <v>9</v>
      </c>
      <c r="F99" s="5" t="s">
        <v>36</v>
      </c>
      <c r="G99" s="1">
        <v>540</v>
      </c>
      <c r="H99" s="5" t="s">
        <v>11</v>
      </c>
    </row>
    <row r="100" spans="1:8" x14ac:dyDescent="0.3">
      <c r="A100" s="1">
        <v>98</v>
      </c>
      <c r="B100" s="4">
        <v>46121</v>
      </c>
      <c r="C100" s="5" t="s">
        <v>12</v>
      </c>
      <c r="D100" s="5" t="s">
        <v>13</v>
      </c>
      <c r="E100" s="5" t="s">
        <v>14</v>
      </c>
      <c r="F100" s="5" t="s">
        <v>15</v>
      </c>
      <c r="G100" s="1">
        <v>1250</v>
      </c>
      <c r="H100" s="5" t="s">
        <v>11</v>
      </c>
    </row>
    <row r="101" spans="1:8" x14ac:dyDescent="0.3">
      <c r="A101" s="1">
        <v>99</v>
      </c>
      <c r="B101" s="4">
        <v>46122</v>
      </c>
      <c r="C101" s="5" t="s">
        <v>28</v>
      </c>
      <c r="D101" s="5" t="s">
        <v>29</v>
      </c>
      <c r="E101" s="5" t="s">
        <v>9</v>
      </c>
      <c r="F101" s="5" t="s">
        <v>30</v>
      </c>
      <c r="G101" s="1">
        <v>620</v>
      </c>
      <c r="H101" s="5" t="s">
        <v>11</v>
      </c>
    </row>
    <row r="102" spans="1:8" x14ac:dyDescent="0.3">
      <c r="A102" s="1">
        <v>100</v>
      </c>
      <c r="B102" s="4">
        <v>46123</v>
      </c>
      <c r="C102" s="5" t="s">
        <v>31</v>
      </c>
      <c r="D102" s="5" t="s">
        <v>32</v>
      </c>
      <c r="E102" s="5" t="s">
        <v>23</v>
      </c>
      <c r="F102" s="5" t="s">
        <v>51</v>
      </c>
      <c r="G102" s="1">
        <v>1750</v>
      </c>
      <c r="H102" s="5" t="s">
        <v>11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3E1DE-3A30-4F16-A340-1434E98728D6}">
  <dimension ref="A3:B11"/>
  <sheetViews>
    <sheetView workbookViewId="0">
      <selection activeCell="K2" sqref="K2"/>
    </sheetView>
  </sheetViews>
  <sheetFormatPr defaultRowHeight="14.4" x14ac:dyDescent="0.3"/>
  <cols>
    <col min="1" max="1" width="12.6640625" bestFit="1" customWidth="1"/>
    <col min="2" max="2" width="14.44140625" bestFit="1" customWidth="1"/>
  </cols>
  <sheetData>
    <row r="3" spans="1:2" x14ac:dyDescent="0.3">
      <c r="A3" s="6" t="s">
        <v>74</v>
      </c>
      <c r="B3" t="s">
        <v>76</v>
      </c>
    </row>
    <row r="4" spans="1:2" x14ac:dyDescent="0.3">
      <c r="A4" s="7" t="s">
        <v>18</v>
      </c>
      <c r="B4" s="19">
        <v>17441</v>
      </c>
    </row>
    <row r="5" spans="1:2" x14ac:dyDescent="0.3">
      <c r="A5" s="7" t="s">
        <v>31</v>
      </c>
      <c r="B5" s="19">
        <v>14799</v>
      </c>
    </row>
    <row r="6" spans="1:2" x14ac:dyDescent="0.3">
      <c r="A6" s="7" t="s">
        <v>25</v>
      </c>
      <c r="B6" s="19">
        <v>6147</v>
      </c>
    </row>
    <row r="7" spans="1:2" x14ac:dyDescent="0.3">
      <c r="A7" s="7" t="s">
        <v>7</v>
      </c>
      <c r="B7" s="19">
        <v>32870</v>
      </c>
    </row>
    <row r="8" spans="1:2" x14ac:dyDescent="0.3">
      <c r="A8" s="7" t="s">
        <v>28</v>
      </c>
      <c r="B8" s="19">
        <v>8520</v>
      </c>
    </row>
    <row r="9" spans="1:2" x14ac:dyDescent="0.3">
      <c r="A9" s="7" t="s">
        <v>21</v>
      </c>
      <c r="B9" s="19">
        <v>24150</v>
      </c>
    </row>
    <row r="10" spans="1:2" x14ac:dyDescent="0.3">
      <c r="A10" s="7" t="s">
        <v>12</v>
      </c>
      <c r="B10" s="19">
        <v>15690</v>
      </c>
    </row>
    <row r="11" spans="1:2" x14ac:dyDescent="0.3">
      <c r="A11" s="7" t="s">
        <v>75</v>
      </c>
      <c r="B11" s="19">
        <v>119617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86F4B-1887-4B33-9112-663039DCFCDA}">
  <dimension ref="A3:B8"/>
  <sheetViews>
    <sheetView topLeftCell="B2" workbookViewId="0">
      <selection activeCell="L21" sqref="L21"/>
    </sheetView>
  </sheetViews>
  <sheetFormatPr defaultRowHeight="14.4" x14ac:dyDescent="0.3"/>
  <cols>
    <col min="1" max="1" width="12.5546875" bestFit="1" customWidth="1"/>
    <col min="2" max="2" width="14.44140625" bestFit="1" customWidth="1"/>
  </cols>
  <sheetData>
    <row r="3" spans="1:2" x14ac:dyDescent="0.3">
      <c r="A3" s="6" t="s">
        <v>74</v>
      </c>
      <c r="B3" t="s">
        <v>76</v>
      </c>
    </row>
    <row r="4" spans="1:2" x14ac:dyDescent="0.3">
      <c r="A4" s="7" t="s">
        <v>77</v>
      </c>
      <c r="B4" s="19">
        <v>33696</v>
      </c>
    </row>
    <row r="5" spans="1:2" x14ac:dyDescent="0.3">
      <c r="A5" s="7" t="s">
        <v>78</v>
      </c>
      <c r="B5" s="19">
        <v>33218</v>
      </c>
    </row>
    <row r="6" spans="1:2" x14ac:dyDescent="0.3">
      <c r="A6" s="7" t="s">
        <v>79</v>
      </c>
      <c r="B6" s="19">
        <v>40164</v>
      </c>
    </row>
    <row r="7" spans="1:2" x14ac:dyDescent="0.3">
      <c r="A7" s="7" t="s">
        <v>80</v>
      </c>
      <c r="B7" s="19">
        <v>12539</v>
      </c>
    </row>
    <row r="8" spans="1:2" x14ac:dyDescent="0.3">
      <c r="A8" s="7" t="s">
        <v>75</v>
      </c>
      <c r="B8" s="19">
        <v>119617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63F9A-EF0C-44CF-AF39-BCE4F82A91F6}">
  <dimension ref="A3:B7"/>
  <sheetViews>
    <sheetView workbookViewId="0">
      <selection activeCell="H6" sqref="H6"/>
    </sheetView>
  </sheetViews>
  <sheetFormatPr defaultRowHeight="14.4" x14ac:dyDescent="0.3"/>
  <cols>
    <col min="1" max="1" width="12.5546875" bestFit="1" customWidth="1"/>
    <col min="2" max="2" width="14.44140625" bestFit="1" customWidth="1"/>
  </cols>
  <sheetData>
    <row r="3" spans="1:2" x14ac:dyDescent="0.3">
      <c r="A3" s="6" t="s">
        <v>74</v>
      </c>
      <c r="B3" t="s">
        <v>76</v>
      </c>
    </row>
    <row r="4" spans="1:2" x14ac:dyDescent="0.3">
      <c r="A4" s="7" t="s">
        <v>23</v>
      </c>
      <c r="B4" s="19">
        <v>38200</v>
      </c>
    </row>
    <row r="5" spans="1:2" x14ac:dyDescent="0.3">
      <c r="A5" s="7" t="s">
        <v>14</v>
      </c>
      <c r="B5" s="19">
        <v>14200</v>
      </c>
    </row>
    <row r="6" spans="1:2" x14ac:dyDescent="0.3">
      <c r="A6" s="7" t="s">
        <v>9</v>
      </c>
      <c r="B6" s="19">
        <v>67217</v>
      </c>
    </row>
    <row r="7" spans="1:2" x14ac:dyDescent="0.3">
      <c r="A7" s="7" t="s">
        <v>75</v>
      </c>
      <c r="B7" s="19">
        <v>119617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78A55-D8E1-4240-887F-0C69C765FB22}">
  <dimension ref="A3:B20"/>
  <sheetViews>
    <sheetView topLeftCell="B1" workbookViewId="0">
      <selection activeCell="H26" sqref="H26"/>
    </sheetView>
  </sheetViews>
  <sheetFormatPr defaultRowHeight="14.4" x14ac:dyDescent="0.3"/>
  <cols>
    <col min="1" max="1" width="12.5546875" bestFit="1" customWidth="1"/>
    <col min="2" max="2" width="14.44140625" bestFit="1" customWidth="1"/>
  </cols>
  <sheetData>
    <row r="3" spans="1:2" x14ac:dyDescent="0.3">
      <c r="A3" s="6" t="s">
        <v>74</v>
      </c>
      <c r="B3" t="s">
        <v>76</v>
      </c>
    </row>
    <row r="4" spans="1:2" x14ac:dyDescent="0.3">
      <c r="A4" s="7" t="s">
        <v>46</v>
      </c>
      <c r="B4" s="19">
        <v>5550</v>
      </c>
    </row>
    <row r="5" spans="1:2" x14ac:dyDescent="0.3">
      <c r="A5" s="7" t="s">
        <v>47</v>
      </c>
      <c r="B5" s="19">
        <v>1800</v>
      </c>
    </row>
    <row r="6" spans="1:2" x14ac:dyDescent="0.3">
      <c r="A6" s="7" t="s">
        <v>34</v>
      </c>
      <c r="B6" s="19">
        <v>2690</v>
      </c>
    </row>
    <row r="7" spans="1:2" x14ac:dyDescent="0.3">
      <c r="A7" s="7" t="s">
        <v>22</v>
      </c>
      <c r="B7" s="19">
        <v>12600</v>
      </c>
    </row>
    <row r="8" spans="1:2" x14ac:dyDescent="0.3">
      <c r="A8" s="7" t="s">
        <v>32</v>
      </c>
      <c r="B8" s="19">
        <v>9249</v>
      </c>
    </row>
    <row r="9" spans="1:2" x14ac:dyDescent="0.3">
      <c r="A9" s="7" t="s">
        <v>44</v>
      </c>
      <c r="B9" s="19">
        <v>4750</v>
      </c>
    </row>
    <row r="10" spans="1:2" x14ac:dyDescent="0.3">
      <c r="A10" s="7" t="s">
        <v>19</v>
      </c>
      <c r="B10" s="19">
        <v>11250</v>
      </c>
    </row>
    <row r="11" spans="1:2" x14ac:dyDescent="0.3">
      <c r="A11" s="7" t="s">
        <v>39</v>
      </c>
      <c r="B11" s="19">
        <v>11550</v>
      </c>
    </row>
    <row r="12" spans="1:2" x14ac:dyDescent="0.3">
      <c r="A12" s="7" t="s">
        <v>13</v>
      </c>
      <c r="B12" s="19">
        <v>11200</v>
      </c>
    </row>
    <row r="13" spans="1:2" x14ac:dyDescent="0.3">
      <c r="A13" s="7" t="s">
        <v>42</v>
      </c>
      <c r="B13" s="19">
        <v>2547</v>
      </c>
    </row>
    <row r="14" spans="1:2" x14ac:dyDescent="0.3">
      <c r="A14" s="7" t="s">
        <v>8</v>
      </c>
      <c r="B14" s="19">
        <v>24650</v>
      </c>
    </row>
    <row r="15" spans="1:2" x14ac:dyDescent="0.3">
      <c r="A15" s="7" t="s">
        <v>37</v>
      </c>
      <c r="B15" s="19">
        <v>3995</v>
      </c>
    </row>
    <row r="16" spans="1:2" x14ac:dyDescent="0.3">
      <c r="A16" s="7" t="s">
        <v>29</v>
      </c>
      <c r="B16" s="19">
        <v>3770</v>
      </c>
    </row>
    <row r="17" spans="1:2" x14ac:dyDescent="0.3">
      <c r="A17" s="7" t="s">
        <v>53</v>
      </c>
      <c r="B17" s="19">
        <v>2196</v>
      </c>
    </row>
    <row r="18" spans="1:2" x14ac:dyDescent="0.3">
      <c r="A18" s="7" t="s">
        <v>26</v>
      </c>
      <c r="B18" s="19">
        <v>3600</v>
      </c>
    </row>
    <row r="19" spans="1:2" x14ac:dyDescent="0.3">
      <c r="A19" s="7" t="s">
        <v>16</v>
      </c>
      <c r="B19" s="19">
        <v>8220</v>
      </c>
    </row>
    <row r="20" spans="1:2" x14ac:dyDescent="0.3">
      <c r="A20" s="7" t="s">
        <v>75</v>
      </c>
      <c r="B20" s="19">
        <v>119617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98989-0D02-470A-B6A0-210416A60992}">
  <dimension ref="A1:W9"/>
  <sheetViews>
    <sheetView tabSelected="1" workbookViewId="0">
      <selection activeCell="J63" sqref="J63"/>
    </sheetView>
  </sheetViews>
  <sheetFormatPr defaultRowHeight="14.4" x14ac:dyDescent="0.3"/>
  <cols>
    <col min="2" max="2" width="12.77734375" bestFit="1" customWidth="1"/>
    <col min="5" max="5" width="14.5546875" customWidth="1"/>
    <col min="8" max="8" width="10.33203125" bestFit="1" customWidth="1"/>
  </cols>
  <sheetData>
    <row r="1" spans="1:23" x14ac:dyDescent="0.3">
      <c r="A1" s="8"/>
      <c r="B1" s="8"/>
      <c r="C1" s="8"/>
      <c r="D1" s="8"/>
      <c r="E1" s="9"/>
      <c r="F1" s="8"/>
      <c r="G1" s="8"/>
      <c r="H1" s="8"/>
      <c r="I1" s="8"/>
      <c r="J1" s="8"/>
      <c r="K1" s="8"/>
      <c r="L1" s="8"/>
      <c r="M1" s="8"/>
      <c r="N1" s="8"/>
      <c r="O1" s="8"/>
      <c r="P1" s="8"/>
      <c r="Q1" s="8"/>
      <c r="R1" s="8"/>
      <c r="S1" s="8"/>
      <c r="T1" s="8"/>
      <c r="U1" s="9"/>
      <c r="V1" s="8"/>
      <c r="W1" s="8"/>
    </row>
    <row r="2" spans="1:23" ht="46.2" x14ac:dyDescent="0.85">
      <c r="A2" s="8"/>
      <c r="B2" s="8"/>
      <c r="C2" s="8"/>
      <c r="D2" s="8"/>
      <c r="E2" s="8"/>
      <c r="F2" s="12"/>
      <c r="G2" s="13" t="s">
        <v>81</v>
      </c>
      <c r="H2" s="13"/>
      <c r="I2" s="13"/>
      <c r="J2" s="13"/>
      <c r="K2" s="13"/>
      <c r="L2" s="13"/>
      <c r="M2" s="13"/>
      <c r="N2" s="13"/>
      <c r="O2" s="14"/>
      <c r="P2" s="8"/>
      <c r="Q2" s="8"/>
      <c r="R2" s="8"/>
      <c r="S2" s="8"/>
      <c r="T2" s="8"/>
      <c r="U2" s="8"/>
      <c r="V2" s="8"/>
      <c r="W2" s="10"/>
    </row>
    <row r="3" spans="1:23" ht="15.6" x14ac:dyDescent="0.3">
      <c r="A3" s="8"/>
      <c r="B3" s="8"/>
      <c r="C3" s="8"/>
      <c r="D3" s="8"/>
      <c r="E3" s="8"/>
      <c r="F3" s="8"/>
      <c r="G3" s="20"/>
      <c r="H3" s="21"/>
      <c r="I3" s="21"/>
      <c r="J3" s="21"/>
      <c r="K3" s="8"/>
      <c r="L3" s="8"/>
      <c r="M3" s="8"/>
      <c r="N3" s="8"/>
      <c r="O3" s="8"/>
      <c r="P3" s="8"/>
      <c r="Q3" s="8"/>
      <c r="R3" s="8"/>
      <c r="S3" s="8"/>
      <c r="T3" s="8"/>
      <c r="U3" s="8"/>
      <c r="V3" s="8"/>
      <c r="W3" s="8"/>
    </row>
    <row r="5" spans="1:23" x14ac:dyDescent="0.3">
      <c r="A5" s="15"/>
      <c r="B5" s="15"/>
      <c r="C5" s="15"/>
    </row>
    <row r="6" spans="1:23" ht="28.8" x14ac:dyDescent="0.55000000000000004">
      <c r="A6" s="15"/>
      <c r="B6" s="16">
        <f>SUM(ExpenseData[Amount])</f>
        <v>119617</v>
      </c>
      <c r="C6" s="15"/>
      <c r="E6" s="17">
        <f>AVERAGE(ExpenseData[Amount])</f>
        <v>1196.17</v>
      </c>
      <c r="H6" s="18">
        <f>MAX(ExpenseData[Amount])</f>
        <v>3500</v>
      </c>
      <c r="L6" s="18">
        <f>COUNTA(ExpenseData[ID])</f>
        <v>100</v>
      </c>
    </row>
    <row r="7" spans="1:23" x14ac:dyDescent="0.3">
      <c r="A7" s="15"/>
      <c r="C7" s="15"/>
    </row>
    <row r="8" spans="1:23" x14ac:dyDescent="0.3">
      <c r="A8" s="15"/>
      <c r="C8" s="15"/>
    </row>
    <row r="9" spans="1:23" x14ac:dyDescent="0.3">
      <c r="A9" s="11"/>
      <c r="B9" s="11"/>
      <c r="C9" s="11"/>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EXPENSEDATA</vt:lpstr>
      <vt:lpstr>PT_CATEGORY</vt:lpstr>
      <vt:lpstr>PT_MONTHLY</vt:lpstr>
      <vt:lpstr>PT_PAYMENT MODE </vt:lpstr>
      <vt:lpstr>PT_Subcategory</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Manasa Gudise</dc:creator>
  <cp:lastModifiedBy>Manasa Gudise</cp:lastModifiedBy>
  <dcterms:created xsi:type="dcterms:W3CDTF">2015-06-05T18:17:20Z</dcterms:created>
  <dcterms:modified xsi:type="dcterms:W3CDTF">2026-08-18T16:55:37Z</dcterms:modified>
</cp:coreProperties>
</file>