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14595a357ed3f75a/Documents/"/>
    </mc:Choice>
  </mc:AlternateContent>
  <xr:revisionPtr revIDLastSave="2307" documentId="8_{67B5F405-F758-413C-BCA8-33BABECB8080}" xr6:coauthVersionLast="47" xr6:coauthVersionMax="47" xr10:uidLastSave="{D4603CD4-E2EA-459C-9184-9F62494013F0}"/>
  <bookViews>
    <workbookView xWindow="-108" yWindow="-108" windowWidth="23256" windowHeight="12456" firstSheet="2" activeTab="2" xr2:uid="{00000000-000D-0000-FFFF-FFFF00000000}"/>
  </bookViews>
  <sheets>
    <sheet name="PT_PRODUCT" sheetId="19" r:id="rId1"/>
    <sheet name="PT_PROFIT" sheetId="20" r:id="rId2"/>
    <sheet name="PT_SALESPERSON" sheetId="21" r:id="rId3"/>
    <sheet name="PT_REGION" sheetId="15" r:id="rId4"/>
    <sheet name="DASHBOARD" sheetId="7" r:id="rId5"/>
    <sheet name="SALES_DATA" sheetId="1" r:id="rId6"/>
    <sheet name="PT _CATEGORY" sheetId="17" r:id="rId7"/>
    <sheet name="PT_DAY-WISE" sheetId="18" r:id="rId8"/>
  </sheets>
  <definedNames>
    <definedName name="Slicer_Category">#N/A</definedName>
    <definedName name="Slicer_Product">#N/A</definedName>
    <definedName name="Slicer_Region">#N/A</definedName>
    <definedName name="Slicer_Salespers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1" l="1"/>
  <c r="A9" i="7"/>
  <c r="Q10" i="1"/>
  <c r="Q9" i="1"/>
  <c r="Q11" i="1"/>
  <c r="Q6" i="1"/>
  <c r="Q5" i="1"/>
  <c r="Q8" i="1"/>
</calcChain>
</file>

<file path=xl/sharedStrings.xml><?xml version="1.0" encoding="utf-8"?>
<sst xmlns="http://schemas.openxmlformats.org/spreadsheetml/2006/main" count="7079" uniqueCount="2410">
  <si>
    <t>Order ID</t>
  </si>
  <si>
    <t>Product</t>
  </si>
  <si>
    <t>Category</t>
  </si>
  <si>
    <t>Region</t>
  </si>
  <si>
    <t>Salesperson</t>
  </si>
  <si>
    <t>Qty</t>
  </si>
  <si>
    <t>Unit Price</t>
  </si>
  <si>
    <t>Sales</t>
  </si>
  <si>
    <t>Cost</t>
  </si>
  <si>
    <t>Profit</t>
  </si>
  <si>
    <t>ORD0001</t>
  </si>
  <si>
    <t>01-01-2026</t>
  </si>
  <si>
    <t>Laptop</t>
  </si>
  <si>
    <t>Electronics</t>
  </si>
  <si>
    <t>West</t>
  </si>
  <si>
    <t>Priya</t>
  </si>
  <si>
    <t>ORD0002</t>
  </si>
  <si>
    <t>02-01-2026</t>
  </si>
  <si>
    <t>Customer_0002</t>
  </si>
  <si>
    <t>Ravi</t>
  </si>
  <si>
    <t>ORD0003</t>
  </si>
  <si>
    <t>03-01-2026</t>
  </si>
  <si>
    <t>Customer_0003</t>
  </si>
  <si>
    <t>Mouse</t>
  </si>
  <si>
    <t>Accessories</t>
  </si>
  <si>
    <t>North</t>
  </si>
  <si>
    <t>Kiran</t>
  </si>
  <si>
    <t>ORD0004</t>
  </si>
  <si>
    <t>04-01-2026</t>
  </si>
  <si>
    <t>Customer_0004</t>
  </si>
  <si>
    <t>Monitor</t>
  </si>
  <si>
    <t>ORD0005</t>
  </si>
  <si>
    <t>05-01-2026</t>
  </si>
  <si>
    <t>Customer_0005</t>
  </si>
  <si>
    <t>Webcam</t>
  </si>
  <si>
    <t>ORD0006</t>
  </si>
  <si>
    <t>06-01-2026</t>
  </si>
  <si>
    <t>Customer_0006</t>
  </si>
  <si>
    <t>East</t>
  </si>
  <si>
    <t>ORD0007</t>
  </si>
  <si>
    <t>07-01-2026</t>
  </si>
  <si>
    <t>Customer_0007</t>
  </si>
  <si>
    <t>Printer</t>
  </si>
  <si>
    <t>Anita</t>
  </si>
  <si>
    <t>ORD0008</t>
  </si>
  <si>
    <t>08-01-2026</t>
  </si>
  <si>
    <t>Customer_0008</t>
  </si>
  <si>
    <t>ORD0009</t>
  </si>
  <si>
    <t>09-01-2026</t>
  </si>
  <si>
    <t>Customer_0009</t>
  </si>
  <si>
    <t>Router</t>
  </si>
  <si>
    <t>Networking</t>
  </si>
  <si>
    <t>South</t>
  </si>
  <si>
    <t>ORD0010</t>
  </si>
  <si>
    <t>10-01-2026</t>
  </si>
  <si>
    <t>Customer_0010</t>
  </si>
  <si>
    <t>ORD0011</t>
  </si>
  <si>
    <t>11-01-2026</t>
  </si>
  <si>
    <t>Customer_0011</t>
  </si>
  <si>
    <t>Keyboard</t>
  </si>
  <si>
    <t>ORD0012</t>
  </si>
  <si>
    <t>12-01-2026</t>
  </si>
  <si>
    <t>Customer_0012</t>
  </si>
  <si>
    <t>ORD0013</t>
  </si>
  <si>
    <t>13-01-2026</t>
  </si>
  <si>
    <t>Customer_0013</t>
  </si>
  <si>
    <t>ORD0014</t>
  </si>
  <si>
    <t>14-01-2026</t>
  </si>
  <si>
    <t>Customer_0014</t>
  </si>
  <si>
    <t>ORD0015</t>
  </si>
  <si>
    <t>15-01-2026</t>
  </si>
  <si>
    <t>Customer_0015</t>
  </si>
  <si>
    <t>ORD0016</t>
  </si>
  <si>
    <t>16-01-2026</t>
  </si>
  <si>
    <t>Customer_0016</t>
  </si>
  <si>
    <t>ORD0017</t>
  </si>
  <si>
    <t>17-01-2026</t>
  </si>
  <si>
    <t>Customer_0017</t>
  </si>
  <si>
    <t>ORD0018</t>
  </si>
  <si>
    <t>18-01-2026</t>
  </si>
  <si>
    <t>Customer_0018</t>
  </si>
  <si>
    <t>ORD0019</t>
  </si>
  <si>
    <t>19-01-2026</t>
  </si>
  <si>
    <t>Customer_0019</t>
  </si>
  <si>
    <t>Suresh</t>
  </si>
  <si>
    <t>ORD0020</t>
  </si>
  <si>
    <t>20-01-2026</t>
  </si>
  <si>
    <t>Customer_0020</t>
  </si>
  <si>
    <t>ORD0021</t>
  </si>
  <si>
    <t>21-01-2026</t>
  </si>
  <si>
    <t>Customer_0021</t>
  </si>
  <si>
    <t>ORD0022</t>
  </si>
  <si>
    <t>22-01-2026</t>
  </si>
  <si>
    <t>Customer_0022</t>
  </si>
  <si>
    <t>ORD0023</t>
  </si>
  <si>
    <t>23-01-2026</t>
  </si>
  <si>
    <t>Customer_0023</t>
  </si>
  <si>
    <t>ORD0024</t>
  </si>
  <si>
    <t>24-01-2026</t>
  </si>
  <si>
    <t>Customer_0024</t>
  </si>
  <si>
    <t>ORD0025</t>
  </si>
  <si>
    <t>25-01-2026</t>
  </si>
  <si>
    <t>Customer_0025</t>
  </si>
  <si>
    <t>ORD0026</t>
  </si>
  <si>
    <t>26-01-2026</t>
  </si>
  <si>
    <t>Customer_0026</t>
  </si>
  <si>
    <t>SSD</t>
  </si>
  <si>
    <t>Storage</t>
  </si>
  <si>
    <t>ORD0027</t>
  </si>
  <si>
    <t>27-01-2026</t>
  </si>
  <si>
    <t>Customer_0027</t>
  </si>
  <si>
    <t>ORD0028</t>
  </si>
  <si>
    <t>28-01-2026</t>
  </si>
  <si>
    <t>Customer_0028</t>
  </si>
  <si>
    <t>ORD0029</t>
  </si>
  <si>
    <t>29-01-2026</t>
  </si>
  <si>
    <t>Customer_0029</t>
  </si>
  <si>
    <t>ORD0030</t>
  </si>
  <si>
    <t>30-01-2026</t>
  </si>
  <si>
    <t>Customer_0030</t>
  </si>
  <si>
    <t>ORD0031</t>
  </si>
  <si>
    <t>31-01-2026</t>
  </si>
  <si>
    <t>Customer_0031</t>
  </si>
  <si>
    <t>ORD0032</t>
  </si>
  <si>
    <t>01-02-2026</t>
  </si>
  <si>
    <t>Customer_0032</t>
  </si>
  <si>
    <t>ORD0033</t>
  </si>
  <si>
    <t>02-02-2026</t>
  </si>
  <si>
    <t>Customer_0033</t>
  </si>
  <si>
    <t>ORD0034</t>
  </si>
  <si>
    <t>03-02-2026</t>
  </si>
  <si>
    <t>Customer_0034</t>
  </si>
  <si>
    <t>ORD0035</t>
  </si>
  <si>
    <t>04-02-2026</t>
  </si>
  <si>
    <t>Customer_0035</t>
  </si>
  <si>
    <t>ORD0036</t>
  </si>
  <si>
    <t>05-02-2026</t>
  </si>
  <si>
    <t>Customer_0036</t>
  </si>
  <si>
    <t>ORD0037</t>
  </si>
  <si>
    <t>06-02-2026</t>
  </si>
  <si>
    <t>Customer_0037</t>
  </si>
  <si>
    <t>ORD0038</t>
  </si>
  <si>
    <t>07-02-2026</t>
  </si>
  <si>
    <t>Customer_0038</t>
  </si>
  <si>
    <t>ORD0039</t>
  </si>
  <si>
    <t>08-02-2026</t>
  </si>
  <si>
    <t>Customer_0039</t>
  </si>
  <si>
    <t>ORD0040</t>
  </si>
  <si>
    <t>09-02-2026</t>
  </si>
  <si>
    <t>Customer_0040</t>
  </si>
  <si>
    <t>ORD0041</t>
  </si>
  <si>
    <t>10-02-2026</t>
  </si>
  <si>
    <t>Customer_0041</t>
  </si>
  <si>
    <t>ORD0042</t>
  </si>
  <si>
    <t>11-02-2026</t>
  </si>
  <si>
    <t>Customer_0042</t>
  </si>
  <si>
    <t>ORD0043</t>
  </si>
  <si>
    <t>12-02-2026</t>
  </si>
  <si>
    <t>Customer_0043</t>
  </si>
  <si>
    <t>ORD0044</t>
  </si>
  <si>
    <t>13-02-2026</t>
  </si>
  <si>
    <t>Customer_0044</t>
  </si>
  <si>
    <t>ORD0045</t>
  </si>
  <si>
    <t>14-02-2026</t>
  </si>
  <si>
    <t>Customer_0045</t>
  </si>
  <si>
    <t>ORD0046</t>
  </si>
  <si>
    <t>15-02-2026</t>
  </si>
  <si>
    <t>Customer_0046</t>
  </si>
  <si>
    <t>ORD0047</t>
  </si>
  <si>
    <t>16-02-2026</t>
  </si>
  <si>
    <t>Customer_0047</t>
  </si>
  <si>
    <t>ORD0048</t>
  </si>
  <si>
    <t>17-02-2026</t>
  </si>
  <si>
    <t>Customer_0048</t>
  </si>
  <si>
    <t>ORD0049</t>
  </si>
  <si>
    <t>18-02-2026</t>
  </si>
  <si>
    <t>Customer_0049</t>
  </si>
  <si>
    <t>ORD0050</t>
  </si>
  <si>
    <t>19-02-2026</t>
  </si>
  <si>
    <t>Customer_0050</t>
  </si>
  <si>
    <t>ORD0051</t>
  </si>
  <si>
    <t>20-02-2026</t>
  </si>
  <si>
    <t>Customer_0051</t>
  </si>
  <si>
    <t>ORD0052</t>
  </si>
  <si>
    <t>21-02-2026</t>
  </si>
  <si>
    <t>Customer_0052</t>
  </si>
  <si>
    <t>ORD0053</t>
  </si>
  <si>
    <t>22-02-2026</t>
  </si>
  <si>
    <t>Customer_0053</t>
  </si>
  <si>
    <t>ORD0054</t>
  </si>
  <si>
    <t>23-02-2026</t>
  </si>
  <si>
    <t>Customer_0054</t>
  </si>
  <si>
    <t>ORD0055</t>
  </si>
  <si>
    <t>24-02-2026</t>
  </si>
  <si>
    <t>Customer_0055</t>
  </si>
  <si>
    <t>ORD0056</t>
  </si>
  <si>
    <t>25-02-2026</t>
  </si>
  <si>
    <t>Customer_0056</t>
  </si>
  <si>
    <t>ORD0057</t>
  </si>
  <si>
    <t>26-02-2026</t>
  </si>
  <si>
    <t>Customer_0057</t>
  </si>
  <si>
    <t>ORD0058</t>
  </si>
  <si>
    <t>27-02-2026</t>
  </si>
  <si>
    <t>Customer_0058</t>
  </si>
  <si>
    <t>ORD0059</t>
  </si>
  <si>
    <t>28-02-2026</t>
  </si>
  <si>
    <t>Customer_0059</t>
  </si>
  <si>
    <t>ORD0060</t>
  </si>
  <si>
    <t>01-03-2026</t>
  </si>
  <si>
    <t>Customer_0060</t>
  </si>
  <si>
    <t>ORD0061</t>
  </si>
  <si>
    <t>02-03-2026</t>
  </si>
  <si>
    <t>Customer_0061</t>
  </si>
  <si>
    <t>ORD0062</t>
  </si>
  <si>
    <t>03-03-2026</t>
  </si>
  <si>
    <t>Customer_0062</t>
  </si>
  <si>
    <t>ORD0063</t>
  </si>
  <si>
    <t>04-03-2026</t>
  </si>
  <si>
    <t>Customer_0063</t>
  </si>
  <si>
    <t>ORD0064</t>
  </si>
  <si>
    <t>05-03-2026</t>
  </si>
  <si>
    <t>Customer_0064</t>
  </si>
  <si>
    <t>ORD0065</t>
  </si>
  <si>
    <t>06-03-2026</t>
  </si>
  <si>
    <t>Customer_0065</t>
  </si>
  <si>
    <t>ORD0066</t>
  </si>
  <si>
    <t>07-03-2026</t>
  </si>
  <si>
    <t>Customer_0066</t>
  </si>
  <si>
    <t>ORD0067</t>
  </si>
  <si>
    <t>08-03-2026</t>
  </si>
  <si>
    <t>Customer_0067</t>
  </si>
  <si>
    <t>ORD0068</t>
  </si>
  <si>
    <t>09-03-2026</t>
  </si>
  <si>
    <t>Customer_0068</t>
  </si>
  <si>
    <t>ORD0069</t>
  </si>
  <si>
    <t>10-03-2026</t>
  </si>
  <si>
    <t>Customer_0069</t>
  </si>
  <si>
    <t>ORD0070</t>
  </si>
  <si>
    <t>11-03-2026</t>
  </si>
  <si>
    <t>Customer_0070</t>
  </si>
  <si>
    <t>ORD0071</t>
  </si>
  <si>
    <t>12-03-2026</t>
  </si>
  <si>
    <t>Customer_0071</t>
  </si>
  <si>
    <t>ORD0072</t>
  </si>
  <si>
    <t>13-03-2026</t>
  </si>
  <si>
    <t>Customer_0072</t>
  </si>
  <si>
    <t>ORD0073</t>
  </si>
  <si>
    <t>14-03-2026</t>
  </si>
  <si>
    <t>Customer_0073</t>
  </si>
  <si>
    <t>ORD0074</t>
  </si>
  <si>
    <t>15-03-2026</t>
  </si>
  <si>
    <t>Customer_0074</t>
  </si>
  <si>
    <t>ORD0075</t>
  </si>
  <si>
    <t>16-03-2026</t>
  </si>
  <si>
    <t>Customer_0075</t>
  </si>
  <si>
    <t>ORD0076</t>
  </si>
  <si>
    <t>17-03-2026</t>
  </si>
  <si>
    <t>Customer_0076</t>
  </si>
  <si>
    <t>ORD0077</t>
  </si>
  <si>
    <t>18-03-2026</t>
  </si>
  <si>
    <t>Customer_0077</t>
  </si>
  <si>
    <t>ORD0078</t>
  </si>
  <si>
    <t>19-03-2026</t>
  </si>
  <si>
    <t>Customer_0078</t>
  </si>
  <si>
    <t>ORD0079</t>
  </si>
  <si>
    <t>20-03-2026</t>
  </si>
  <si>
    <t>Customer_0079</t>
  </si>
  <si>
    <t>ORD0080</t>
  </si>
  <si>
    <t>21-03-2026</t>
  </si>
  <si>
    <t>Customer_0080</t>
  </si>
  <si>
    <t>ORD0081</t>
  </si>
  <si>
    <t>22-03-2026</t>
  </si>
  <si>
    <t>Customer_0081</t>
  </si>
  <si>
    <t>ORD0082</t>
  </si>
  <si>
    <t>23-03-2026</t>
  </si>
  <si>
    <t>Customer_0082</t>
  </si>
  <si>
    <t>ORD0083</t>
  </si>
  <si>
    <t>24-03-2026</t>
  </si>
  <si>
    <t>Customer_0083</t>
  </si>
  <si>
    <t>ORD0084</t>
  </si>
  <si>
    <t>25-03-2026</t>
  </si>
  <si>
    <t>Customer_0084</t>
  </si>
  <si>
    <t>ORD0085</t>
  </si>
  <si>
    <t>26-03-2026</t>
  </si>
  <si>
    <t>Customer_0085</t>
  </si>
  <si>
    <t>ORD0086</t>
  </si>
  <si>
    <t>27-03-2026</t>
  </si>
  <si>
    <t>Customer_0086</t>
  </si>
  <si>
    <t>ORD0087</t>
  </si>
  <si>
    <t>28-03-2026</t>
  </si>
  <si>
    <t>Customer_0087</t>
  </si>
  <si>
    <t>ORD0088</t>
  </si>
  <si>
    <t>29-03-2026</t>
  </si>
  <si>
    <t>Customer_0088</t>
  </si>
  <si>
    <t>ORD0089</t>
  </si>
  <si>
    <t>30-03-2026</t>
  </si>
  <si>
    <t>Customer_0089</t>
  </si>
  <si>
    <t>ORD0090</t>
  </si>
  <si>
    <t>31-03-2026</t>
  </si>
  <si>
    <t>Customer_0090</t>
  </si>
  <si>
    <t>ORD0091</t>
  </si>
  <si>
    <t>01-04-2026</t>
  </si>
  <si>
    <t>Customer_0091</t>
  </si>
  <si>
    <t>ORD0092</t>
  </si>
  <si>
    <t>02-04-2026</t>
  </si>
  <si>
    <t>Customer_0092</t>
  </si>
  <si>
    <t>ORD0093</t>
  </si>
  <si>
    <t>03-04-2026</t>
  </si>
  <si>
    <t>Customer_0093</t>
  </si>
  <si>
    <t>ORD0094</t>
  </si>
  <si>
    <t>04-04-2026</t>
  </si>
  <si>
    <t>Customer_0094</t>
  </si>
  <si>
    <t>ORD0095</t>
  </si>
  <si>
    <t>05-04-2026</t>
  </si>
  <si>
    <t>Customer_0095</t>
  </si>
  <si>
    <t>ORD0096</t>
  </si>
  <si>
    <t>06-04-2026</t>
  </si>
  <si>
    <t>Customer_0096</t>
  </si>
  <si>
    <t>ORD0097</t>
  </si>
  <si>
    <t>07-04-2026</t>
  </si>
  <si>
    <t>Customer_0097</t>
  </si>
  <si>
    <t>ORD0098</t>
  </si>
  <si>
    <t>08-04-2026</t>
  </si>
  <si>
    <t>Customer_0098</t>
  </si>
  <si>
    <t>ORD0099</t>
  </si>
  <si>
    <t>09-04-2026</t>
  </si>
  <si>
    <t>Customer_0099</t>
  </si>
  <si>
    <t>ORD0100</t>
  </si>
  <si>
    <t>10-04-2026</t>
  </si>
  <si>
    <t>Customer_0100</t>
  </si>
  <si>
    <t>ORD0101</t>
  </si>
  <si>
    <t>11-04-2026</t>
  </si>
  <si>
    <t>Customer_0101</t>
  </si>
  <si>
    <t>ORD0102</t>
  </si>
  <si>
    <t>12-04-2026</t>
  </si>
  <si>
    <t>Customer_0102</t>
  </si>
  <si>
    <t>ORD0103</t>
  </si>
  <si>
    <t>13-04-2026</t>
  </si>
  <si>
    <t>Customer_0103</t>
  </si>
  <si>
    <t>ORD0104</t>
  </si>
  <si>
    <t>14-04-2026</t>
  </si>
  <si>
    <t>Customer_0104</t>
  </si>
  <si>
    <t>ORD0105</t>
  </si>
  <si>
    <t>15-04-2026</t>
  </si>
  <si>
    <t>Customer_0105</t>
  </si>
  <si>
    <t>ORD0106</t>
  </si>
  <si>
    <t>16-04-2026</t>
  </si>
  <si>
    <t>Customer_0106</t>
  </si>
  <si>
    <t>ORD0107</t>
  </si>
  <si>
    <t>17-04-2026</t>
  </si>
  <si>
    <t>Customer_0107</t>
  </si>
  <si>
    <t>ORD0108</t>
  </si>
  <si>
    <t>18-04-2026</t>
  </si>
  <si>
    <t>Customer_0108</t>
  </si>
  <si>
    <t>ORD0109</t>
  </si>
  <si>
    <t>19-04-2026</t>
  </si>
  <si>
    <t>Customer_0109</t>
  </si>
  <si>
    <t>ORD0110</t>
  </si>
  <si>
    <t>20-04-2026</t>
  </si>
  <si>
    <t>Customer_0110</t>
  </si>
  <si>
    <t>ORD0111</t>
  </si>
  <si>
    <t>21-04-2026</t>
  </si>
  <si>
    <t>Customer_0111</t>
  </si>
  <si>
    <t>ORD0112</t>
  </si>
  <si>
    <t>22-04-2026</t>
  </si>
  <si>
    <t>Customer_0112</t>
  </si>
  <si>
    <t>ORD0113</t>
  </si>
  <si>
    <t>23-04-2026</t>
  </si>
  <si>
    <t>Customer_0113</t>
  </si>
  <si>
    <t>ORD0114</t>
  </si>
  <si>
    <t>24-04-2026</t>
  </si>
  <si>
    <t>Customer_0114</t>
  </si>
  <si>
    <t>ORD0115</t>
  </si>
  <si>
    <t>25-04-2026</t>
  </si>
  <si>
    <t>Customer_0115</t>
  </si>
  <si>
    <t>ORD0116</t>
  </si>
  <si>
    <t>26-04-2026</t>
  </si>
  <si>
    <t>Customer_0116</t>
  </si>
  <si>
    <t>ORD0117</t>
  </si>
  <si>
    <t>27-04-2026</t>
  </si>
  <si>
    <t>Customer_0117</t>
  </si>
  <si>
    <t>ORD0118</t>
  </si>
  <si>
    <t>28-04-2026</t>
  </si>
  <si>
    <t>Customer_0118</t>
  </si>
  <si>
    <t>ORD0119</t>
  </si>
  <si>
    <t>29-04-2026</t>
  </si>
  <si>
    <t>Customer_0119</t>
  </si>
  <si>
    <t>ORD0120</t>
  </si>
  <si>
    <t>30-04-2026</t>
  </si>
  <si>
    <t>Customer_0120</t>
  </si>
  <si>
    <t>ORD0121</t>
  </si>
  <si>
    <t>01-05-2026</t>
  </si>
  <si>
    <t>Customer_0121</t>
  </si>
  <si>
    <t>ORD0122</t>
  </si>
  <si>
    <t>02-05-2026</t>
  </si>
  <si>
    <t>Customer_0122</t>
  </si>
  <si>
    <t>ORD0123</t>
  </si>
  <si>
    <t>03-05-2026</t>
  </si>
  <si>
    <t>Customer_0123</t>
  </si>
  <si>
    <t>ORD0124</t>
  </si>
  <si>
    <t>04-05-2026</t>
  </si>
  <si>
    <t>Customer_0124</t>
  </si>
  <si>
    <t>ORD0125</t>
  </si>
  <si>
    <t>05-05-2026</t>
  </si>
  <si>
    <t>Customer_0125</t>
  </si>
  <si>
    <t>ORD0126</t>
  </si>
  <si>
    <t>06-05-2026</t>
  </si>
  <si>
    <t>Customer_0126</t>
  </si>
  <si>
    <t>ORD0127</t>
  </si>
  <si>
    <t>07-05-2026</t>
  </si>
  <si>
    <t>Customer_0127</t>
  </si>
  <si>
    <t>ORD0128</t>
  </si>
  <si>
    <t>08-05-2026</t>
  </si>
  <si>
    <t>Customer_0128</t>
  </si>
  <si>
    <t>ORD0129</t>
  </si>
  <si>
    <t>09-05-2026</t>
  </si>
  <si>
    <t>Customer_0129</t>
  </si>
  <si>
    <t>ORD0130</t>
  </si>
  <si>
    <t>10-05-2026</t>
  </si>
  <si>
    <t>Customer_0130</t>
  </si>
  <si>
    <t>ORD0131</t>
  </si>
  <si>
    <t>11-05-2026</t>
  </si>
  <si>
    <t>Customer_0131</t>
  </si>
  <si>
    <t>ORD0132</t>
  </si>
  <si>
    <t>12-05-2026</t>
  </si>
  <si>
    <t>Customer_0132</t>
  </si>
  <si>
    <t>ORD0133</t>
  </si>
  <si>
    <t>13-05-2026</t>
  </si>
  <si>
    <t>Customer_0133</t>
  </si>
  <si>
    <t>ORD0134</t>
  </si>
  <si>
    <t>14-05-2026</t>
  </si>
  <si>
    <t>Customer_0134</t>
  </si>
  <si>
    <t>ORD0135</t>
  </si>
  <si>
    <t>15-05-2026</t>
  </si>
  <si>
    <t>Customer_0135</t>
  </si>
  <si>
    <t>ORD0136</t>
  </si>
  <si>
    <t>16-05-2026</t>
  </si>
  <si>
    <t>Customer_0136</t>
  </si>
  <si>
    <t>ORD0137</t>
  </si>
  <si>
    <t>17-05-2026</t>
  </si>
  <si>
    <t>Customer_0137</t>
  </si>
  <si>
    <t>ORD0138</t>
  </si>
  <si>
    <t>18-05-2026</t>
  </si>
  <si>
    <t>Customer_0138</t>
  </si>
  <si>
    <t>ORD0139</t>
  </si>
  <si>
    <t>19-05-2026</t>
  </si>
  <si>
    <t>Customer_0139</t>
  </si>
  <si>
    <t>ORD0140</t>
  </si>
  <si>
    <t>20-05-2026</t>
  </si>
  <si>
    <t>Customer_0140</t>
  </si>
  <si>
    <t>ORD0141</t>
  </si>
  <si>
    <t>21-05-2026</t>
  </si>
  <si>
    <t>Customer_0141</t>
  </si>
  <si>
    <t>ORD0142</t>
  </si>
  <si>
    <t>22-05-2026</t>
  </si>
  <si>
    <t>Customer_0142</t>
  </si>
  <si>
    <t>ORD0143</t>
  </si>
  <si>
    <t>23-05-2026</t>
  </si>
  <si>
    <t>Customer_0143</t>
  </si>
  <si>
    <t>ORD0144</t>
  </si>
  <si>
    <t>24-05-2026</t>
  </si>
  <si>
    <t>Customer_0144</t>
  </si>
  <si>
    <t>ORD0145</t>
  </si>
  <si>
    <t>25-05-2026</t>
  </si>
  <si>
    <t>Customer_0145</t>
  </si>
  <si>
    <t>ORD0146</t>
  </si>
  <si>
    <t>26-05-2026</t>
  </si>
  <si>
    <t>Customer_0146</t>
  </si>
  <si>
    <t>ORD0147</t>
  </si>
  <si>
    <t>27-05-2026</t>
  </si>
  <si>
    <t>Customer_0147</t>
  </si>
  <si>
    <t>ORD0148</t>
  </si>
  <si>
    <t>28-05-2026</t>
  </si>
  <si>
    <t>Customer_0148</t>
  </si>
  <si>
    <t>ORD0149</t>
  </si>
  <si>
    <t>29-05-2026</t>
  </si>
  <si>
    <t>Customer_0149</t>
  </si>
  <si>
    <t>ORD0150</t>
  </si>
  <si>
    <t>30-05-2026</t>
  </si>
  <si>
    <t>Customer_0150</t>
  </si>
  <si>
    <t>ORD0151</t>
  </si>
  <si>
    <t>31-05-2026</t>
  </si>
  <si>
    <t>Customer_0151</t>
  </si>
  <si>
    <t>ORD0152</t>
  </si>
  <si>
    <t>01-06-2026</t>
  </si>
  <si>
    <t>Customer_0152</t>
  </si>
  <si>
    <t>ORD0153</t>
  </si>
  <si>
    <t>02-06-2026</t>
  </si>
  <si>
    <t>Customer_0153</t>
  </si>
  <si>
    <t>ORD0154</t>
  </si>
  <si>
    <t>03-06-2026</t>
  </si>
  <si>
    <t>Customer_0154</t>
  </si>
  <si>
    <t>ORD0155</t>
  </si>
  <si>
    <t>04-06-2026</t>
  </si>
  <si>
    <t>Customer_0155</t>
  </si>
  <si>
    <t>ORD0156</t>
  </si>
  <si>
    <t>05-06-2026</t>
  </si>
  <si>
    <t>Customer_0156</t>
  </si>
  <si>
    <t>ORD0157</t>
  </si>
  <si>
    <t>06-06-2026</t>
  </si>
  <si>
    <t>Customer_0157</t>
  </si>
  <si>
    <t>ORD0158</t>
  </si>
  <si>
    <t>07-06-2026</t>
  </si>
  <si>
    <t>Customer_0158</t>
  </si>
  <si>
    <t>ORD0159</t>
  </si>
  <si>
    <t>08-06-2026</t>
  </si>
  <si>
    <t>Customer_0159</t>
  </si>
  <si>
    <t>ORD0160</t>
  </si>
  <si>
    <t>09-06-2026</t>
  </si>
  <si>
    <t>Customer_0160</t>
  </si>
  <si>
    <t>ORD0161</t>
  </si>
  <si>
    <t>10-06-2026</t>
  </si>
  <si>
    <t>Customer_0161</t>
  </si>
  <si>
    <t>ORD0162</t>
  </si>
  <si>
    <t>11-06-2026</t>
  </si>
  <si>
    <t>Customer_0162</t>
  </si>
  <si>
    <t>ORD0163</t>
  </si>
  <si>
    <t>12-06-2026</t>
  </si>
  <si>
    <t>Customer_0163</t>
  </si>
  <si>
    <t>ORD0164</t>
  </si>
  <si>
    <t>13-06-2026</t>
  </si>
  <si>
    <t>Customer_0164</t>
  </si>
  <si>
    <t>ORD0165</t>
  </si>
  <si>
    <t>14-06-2026</t>
  </si>
  <si>
    <t>Customer_0165</t>
  </si>
  <si>
    <t>ORD0166</t>
  </si>
  <si>
    <t>15-06-2026</t>
  </si>
  <si>
    <t>Customer_0166</t>
  </si>
  <si>
    <t>ORD0167</t>
  </si>
  <si>
    <t>16-06-2026</t>
  </si>
  <si>
    <t>Customer_0167</t>
  </si>
  <si>
    <t>ORD0168</t>
  </si>
  <si>
    <t>17-06-2026</t>
  </si>
  <si>
    <t>Customer_0168</t>
  </si>
  <si>
    <t>ORD0169</t>
  </si>
  <si>
    <t>18-06-2026</t>
  </si>
  <si>
    <t>Customer_0169</t>
  </si>
  <si>
    <t>ORD0170</t>
  </si>
  <si>
    <t>19-06-2026</t>
  </si>
  <si>
    <t>Customer_0170</t>
  </si>
  <si>
    <t>ORD0171</t>
  </si>
  <si>
    <t>20-06-2026</t>
  </si>
  <si>
    <t>Customer_0171</t>
  </si>
  <si>
    <t>ORD0172</t>
  </si>
  <si>
    <t>21-06-2026</t>
  </si>
  <si>
    <t>Customer_0172</t>
  </si>
  <si>
    <t>ORD0173</t>
  </si>
  <si>
    <t>22-06-2026</t>
  </si>
  <si>
    <t>Customer_0173</t>
  </si>
  <si>
    <t>ORD0174</t>
  </si>
  <si>
    <t>23-06-2026</t>
  </si>
  <si>
    <t>Customer_0174</t>
  </si>
  <si>
    <t>ORD0175</t>
  </si>
  <si>
    <t>24-06-2026</t>
  </si>
  <si>
    <t>Customer_0175</t>
  </si>
  <si>
    <t>ORD0176</t>
  </si>
  <si>
    <t>25-06-2026</t>
  </si>
  <si>
    <t>Customer_0176</t>
  </si>
  <si>
    <t>ORD0177</t>
  </si>
  <si>
    <t>26-06-2026</t>
  </si>
  <si>
    <t>Customer_0177</t>
  </si>
  <si>
    <t>ORD0178</t>
  </si>
  <si>
    <t>27-06-2026</t>
  </si>
  <si>
    <t>Customer_0178</t>
  </si>
  <si>
    <t>ORD0179</t>
  </si>
  <si>
    <t>28-06-2026</t>
  </si>
  <si>
    <t>Customer_0179</t>
  </si>
  <si>
    <t>ORD0180</t>
  </si>
  <si>
    <t>29-06-2026</t>
  </si>
  <si>
    <t>Customer_0180</t>
  </si>
  <si>
    <t>ORD0181</t>
  </si>
  <si>
    <t>30-06-2026</t>
  </si>
  <si>
    <t>Customer_0181</t>
  </si>
  <si>
    <t>ORD0182</t>
  </si>
  <si>
    <t>01-07-2026</t>
  </si>
  <si>
    <t>Customer_0182</t>
  </si>
  <si>
    <t>ORD0183</t>
  </si>
  <si>
    <t>02-07-2026</t>
  </si>
  <si>
    <t>Customer_0183</t>
  </si>
  <si>
    <t>ORD0184</t>
  </si>
  <si>
    <t>03-07-2026</t>
  </si>
  <si>
    <t>Customer_0184</t>
  </si>
  <si>
    <t>ORD0185</t>
  </si>
  <si>
    <t>04-07-2026</t>
  </si>
  <si>
    <t>Customer_0185</t>
  </si>
  <si>
    <t>ORD0186</t>
  </si>
  <si>
    <t>05-07-2026</t>
  </si>
  <si>
    <t>Customer_0186</t>
  </si>
  <si>
    <t>ORD0187</t>
  </si>
  <si>
    <t>06-07-2026</t>
  </si>
  <si>
    <t>Customer_0187</t>
  </si>
  <si>
    <t>ORD0188</t>
  </si>
  <si>
    <t>07-07-2026</t>
  </si>
  <si>
    <t>Customer_0188</t>
  </si>
  <si>
    <t>ORD0189</t>
  </si>
  <si>
    <t>08-07-2026</t>
  </si>
  <si>
    <t>Customer_0189</t>
  </si>
  <si>
    <t>ORD0190</t>
  </si>
  <si>
    <t>09-07-2026</t>
  </si>
  <si>
    <t>Customer_0190</t>
  </si>
  <si>
    <t>ORD0191</t>
  </si>
  <si>
    <t>10-07-2026</t>
  </si>
  <si>
    <t>Customer_0191</t>
  </si>
  <si>
    <t>ORD0192</t>
  </si>
  <si>
    <t>11-07-2026</t>
  </si>
  <si>
    <t>Customer_0192</t>
  </si>
  <si>
    <t>ORD0193</t>
  </si>
  <si>
    <t>12-07-2026</t>
  </si>
  <si>
    <t>Customer_0193</t>
  </si>
  <si>
    <t>ORD0194</t>
  </si>
  <si>
    <t>13-07-2026</t>
  </si>
  <si>
    <t>Customer_0194</t>
  </si>
  <si>
    <t>ORD0195</t>
  </si>
  <si>
    <t>14-07-2026</t>
  </si>
  <si>
    <t>Customer_0195</t>
  </si>
  <si>
    <t>ORD0196</t>
  </si>
  <si>
    <t>15-07-2026</t>
  </si>
  <si>
    <t>Customer_0196</t>
  </si>
  <si>
    <t>ORD0197</t>
  </si>
  <si>
    <t>16-07-2026</t>
  </si>
  <si>
    <t>Customer_0197</t>
  </si>
  <si>
    <t>ORD0198</t>
  </si>
  <si>
    <t>17-07-2026</t>
  </si>
  <si>
    <t>Customer_0198</t>
  </si>
  <si>
    <t>ORD0199</t>
  </si>
  <si>
    <t>18-07-2026</t>
  </si>
  <si>
    <t>Customer_0199</t>
  </si>
  <si>
    <t>ORD0200</t>
  </si>
  <si>
    <t>19-07-2026</t>
  </si>
  <si>
    <t>Customer_0200</t>
  </si>
  <si>
    <t>ORD0201</t>
  </si>
  <si>
    <t>20-07-2026</t>
  </si>
  <si>
    <t>Customer_0201</t>
  </si>
  <si>
    <t>ORD0202</t>
  </si>
  <si>
    <t>21-07-2026</t>
  </si>
  <si>
    <t>Customer_0202</t>
  </si>
  <si>
    <t>ORD0203</t>
  </si>
  <si>
    <t>22-07-2026</t>
  </si>
  <si>
    <t>Customer_0203</t>
  </si>
  <si>
    <t>ORD0204</t>
  </si>
  <si>
    <t>23-07-2026</t>
  </si>
  <si>
    <t>Customer_0204</t>
  </si>
  <si>
    <t>ORD0205</t>
  </si>
  <si>
    <t>24-07-2026</t>
  </si>
  <si>
    <t>Customer_0205</t>
  </si>
  <si>
    <t>ORD0206</t>
  </si>
  <si>
    <t>25-07-2026</t>
  </si>
  <si>
    <t>Customer_0206</t>
  </si>
  <si>
    <t>ORD0207</t>
  </si>
  <si>
    <t>26-07-2026</t>
  </si>
  <si>
    <t>Customer_0207</t>
  </si>
  <si>
    <t>ORD0208</t>
  </si>
  <si>
    <t>27-07-2026</t>
  </si>
  <si>
    <t>Customer_0208</t>
  </si>
  <si>
    <t>ORD0209</t>
  </si>
  <si>
    <t>28-07-2026</t>
  </si>
  <si>
    <t>Customer_0209</t>
  </si>
  <si>
    <t>ORD0210</t>
  </si>
  <si>
    <t>29-07-2026</t>
  </si>
  <si>
    <t>Customer_0210</t>
  </si>
  <si>
    <t>ORD0211</t>
  </si>
  <si>
    <t>30-07-2026</t>
  </si>
  <si>
    <t>Customer_0211</t>
  </si>
  <si>
    <t>ORD0212</t>
  </si>
  <si>
    <t>31-07-2026</t>
  </si>
  <si>
    <t>Customer_0212</t>
  </si>
  <si>
    <t>ORD0213</t>
  </si>
  <si>
    <t>01-08-2026</t>
  </si>
  <si>
    <t>Customer_0213</t>
  </si>
  <si>
    <t>ORD0214</t>
  </si>
  <si>
    <t>02-08-2026</t>
  </si>
  <si>
    <t>Customer_0214</t>
  </si>
  <si>
    <t>ORD0215</t>
  </si>
  <si>
    <t>03-08-2026</t>
  </si>
  <si>
    <t>Customer_0215</t>
  </si>
  <si>
    <t>ORD0216</t>
  </si>
  <si>
    <t>04-08-2026</t>
  </si>
  <si>
    <t>Customer_0216</t>
  </si>
  <si>
    <t>ORD0217</t>
  </si>
  <si>
    <t>05-08-2026</t>
  </si>
  <si>
    <t>Customer_0217</t>
  </si>
  <si>
    <t>ORD0218</t>
  </si>
  <si>
    <t>06-08-2026</t>
  </si>
  <si>
    <t>Customer_0218</t>
  </si>
  <si>
    <t>ORD0219</t>
  </si>
  <si>
    <t>07-08-2026</t>
  </si>
  <si>
    <t>Customer_0219</t>
  </si>
  <si>
    <t>ORD0220</t>
  </si>
  <si>
    <t>08-08-2026</t>
  </si>
  <si>
    <t>Customer_0220</t>
  </si>
  <si>
    <t>ORD0221</t>
  </si>
  <si>
    <t>09-08-2026</t>
  </si>
  <si>
    <t>Customer_0221</t>
  </si>
  <si>
    <t>ORD0222</t>
  </si>
  <si>
    <t>10-08-2026</t>
  </si>
  <si>
    <t>Customer_0222</t>
  </si>
  <si>
    <t>ORD0223</t>
  </si>
  <si>
    <t>11-08-2026</t>
  </si>
  <si>
    <t>Customer_0223</t>
  </si>
  <si>
    <t>ORD0224</t>
  </si>
  <si>
    <t>12-08-2026</t>
  </si>
  <si>
    <t>Customer_0224</t>
  </si>
  <si>
    <t>ORD0225</t>
  </si>
  <si>
    <t>13-08-2026</t>
  </si>
  <si>
    <t>Customer_0225</t>
  </si>
  <si>
    <t>ORD0226</t>
  </si>
  <si>
    <t>14-08-2026</t>
  </si>
  <si>
    <t>Customer_0226</t>
  </si>
  <si>
    <t>ORD0227</t>
  </si>
  <si>
    <t>15-08-2026</t>
  </si>
  <si>
    <t>Customer_0227</t>
  </si>
  <si>
    <t>ORD0228</t>
  </si>
  <si>
    <t>16-08-2026</t>
  </si>
  <si>
    <t>Customer_0228</t>
  </si>
  <si>
    <t>ORD0229</t>
  </si>
  <si>
    <t>17-08-2026</t>
  </si>
  <si>
    <t>Customer_0229</t>
  </si>
  <si>
    <t>ORD0230</t>
  </si>
  <si>
    <t>18-08-2026</t>
  </si>
  <si>
    <t>Customer_0230</t>
  </si>
  <si>
    <t>ORD0231</t>
  </si>
  <si>
    <t>19-08-2026</t>
  </si>
  <si>
    <t>Customer_0231</t>
  </si>
  <si>
    <t>ORD0232</t>
  </si>
  <si>
    <t>20-08-2026</t>
  </si>
  <si>
    <t>Customer_0232</t>
  </si>
  <si>
    <t>ORD0233</t>
  </si>
  <si>
    <t>21-08-2026</t>
  </si>
  <si>
    <t>Customer_0233</t>
  </si>
  <si>
    <t>ORD0234</t>
  </si>
  <si>
    <t>22-08-2026</t>
  </si>
  <si>
    <t>Customer_0234</t>
  </si>
  <si>
    <t>ORD0235</t>
  </si>
  <si>
    <t>23-08-2026</t>
  </si>
  <si>
    <t>Customer_0235</t>
  </si>
  <si>
    <t>ORD0236</t>
  </si>
  <si>
    <t>24-08-2026</t>
  </si>
  <si>
    <t>Customer_0236</t>
  </si>
  <si>
    <t>ORD0237</t>
  </si>
  <si>
    <t>25-08-2026</t>
  </si>
  <si>
    <t>Customer_0237</t>
  </si>
  <si>
    <t>ORD0238</t>
  </si>
  <si>
    <t>26-08-2026</t>
  </si>
  <si>
    <t>Customer_0238</t>
  </si>
  <si>
    <t>ORD0239</t>
  </si>
  <si>
    <t>27-08-2026</t>
  </si>
  <si>
    <t>Customer_0239</t>
  </si>
  <si>
    <t>ORD0240</t>
  </si>
  <si>
    <t>28-08-2026</t>
  </si>
  <si>
    <t>Customer_0240</t>
  </si>
  <si>
    <t>ORD0241</t>
  </si>
  <si>
    <t>29-08-2026</t>
  </si>
  <si>
    <t>Customer_0241</t>
  </si>
  <si>
    <t>ORD0242</t>
  </si>
  <si>
    <t>30-08-2026</t>
  </si>
  <si>
    <t>Customer_0242</t>
  </si>
  <si>
    <t>ORD0243</t>
  </si>
  <si>
    <t>31-08-2026</t>
  </si>
  <si>
    <t>Customer_0243</t>
  </si>
  <si>
    <t>ORD0244</t>
  </si>
  <si>
    <t>01-09-2026</t>
  </si>
  <si>
    <t>Customer_0244</t>
  </si>
  <si>
    <t>ORD0245</t>
  </si>
  <si>
    <t>02-09-2026</t>
  </si>
  <si>
    <t>Customer_0245</t>
  </si>
  <si>
    <t>ORD0246</t>
  </si>
  <si>
    <t>03-09-2026</t>
  </si>
  <si>
    <t>Customer_0246</t>
  </si>
  <si>
    <t>ORD0247</t>
  </si>
  <si>
    <t>04-09-2026</t>
  </si>
  <si>
    <t>Customer_0247</t>
  </si>
  <si>
    <t>ORD0248</t>
  </si>
  <si>
    <t>05-09-2026</t>
  </si>
  <si>
    <t>Customer_0248</t>
  </si>
  <si>
    <t>ORD0249</t>
  </si>
  <si>
    <t>06-09-2026</t>
  </si>
  <si>
    <t>Customer_0249</t>
  </si>
  <si>
    <t>ORD0250</t>
  </si>
  <si>
    <t>07-09-2026</t>
  </si>
  <si>
    <t>Customer_0250</t>
  </si>
  <si>
    <t>ORD0251</t>
  </si>
  <si>
    <t>08-09-2026</t>
  </si>
  <si>
    <t>Customer_0251</t>
  </si>
  <si>
    <t>ORD0252</t>
  </si>
  <si>
    <t>09-09-2026</t>
  </si>
  <si>
    <t>Customer_0252</t>
  </si>
  <si>
    <t>ORD0253</t>
  </si>
  <si>
    <t>10-09-2026</t>
  </si>
  <si>
    <t>Customer_0253</t>
  </si>
  <si>
    <t>ORD0254</t>
  </si>
  <si>
    <t>11-09-2026</t>
  </si>
  <si>
    <t>Customer_0254</t>
  </si>
  <si>
    <t>ORD0255</t>
  </si>
  <si>
    <t>12-09-2026</t>
  </si>
  <si>
    <t>Customer_0255</t>
  </si>
  <si>
    <t>ORD0256</t>
  </si>
  <si>
    <t>13-09-2026</t>
  </si>
  <si>
    <t>Customer_0256</t>
  </si>
  <si>
    <t>ORD0257</t>
  </si>
  <si>
    <t>14-09-2026</t>
  </si>
  <si>
    <t>Customer_0257</t>
  </si>
  <si>
    <t>ORD0258</t>
  </si>
  <si>
    <t>15-09-2026</t>
  </si>
  <si>
    <t>Customer_0258</t>
  </si>
  <si>
    <t>ORD0259</t>
  </si>
  <si>
    <t>16-09-2026</t>
  </si>
  <si>
    <t>Customer_0259</t>
  </si>
  <si>
    <t>ORD0260</t>
  </si>
  <si>
    <t>17-09-2026</t>
  </si>
  <si>
    <t>Customer_0260</t>
  </si>
  <si>
    <t>ORD0261</t>
  </si>
  <si>
    <t>18-09-2026</t>
  </si>
  <si>
    <t>Customer_0261</t>
  </si>
  <si>
    <t>ORD0262</t>
  </si>
  <si>
    <t>19-09-2026</t>
  </si>
  <si>
    <t>Customer_0262</t>
  </si>
  <si>
    <t>ORD0263</t>
  </si>
  <si>
    <t>20-09-2026</t>
  </si>
  <si>
    <t>Customer_0263</t>
  </si>
  <si>
    <t>ORD0264</t>
  </si>
  <si>
    <t>21-09-2026</t>
  </si>
  <si>
    <t>Customer_0264</t>
  </si>
  <si>
    <t>ORD0265</t>
  </si>
  <si>
    <t>22-09-2026</t>
  </si>
  <si>
    <t>Customer_0265</t>
  </si>
  <si>
    <t>ORD0266</t>
  </si>
  <si>
    <t>23-09-2026</t>
  </si>
  <si>
    <t>Customer_0266</t>
  </si>
  <si>
    <t>ORD0267</t>
  </si>
  <si>
    <t>24-09-2026</t>
  </si>
  <si>
    <t>Customer_0267</t>
  </si>
  <si>
    <t>ORD0268</t>
  </si>
  <si>
    <t>25-09-2026</t>
  </si>
  <si>
    <t>Customer_0268</t>
  </si>
  <si>
    <t>ORD0269</t>
  </si>
  <si>
    <t>26-09-2026</t>
  </si>
  <si>
    <t>Customer_0269</t>
  </si>
  <si>
    <t>ORD0270</t>
  </si>
  <si>
    <t>27-09-2026</t>
  </si>
  <si>
    <t>Customer_0270</t>
  </si>
  <si>
    <t>ORD0271</t>
  </si>
  <si>
    <t>28-09-2026</t>
  </si>
  <si>
    <t>Customer_0271</t>
  </si>
  <si>
    <t>ORD0272</t>
  </si>
  <si>
    <t>29-09-2026</t>
  </si>
  <si>
    <t>Customer_0272</t>
  </si>
  <si>
    <t>ORD0273</t>
  </si>
  <si>
    <t>30-09-2026</t>
  </si>
  <si>
    <t>Customer_0273</t>
  </si>
  <si>
    <t>ORD0274</t>
  </si>
  <si>
    <t>01-10-2026</t>
  </si>
  <si>
    <t>Customer_0274</t>
  </si>
  <si>
    <t>ORD0275</t>
  </si>
  <si>
    <t>02-10-2026</t>
  </si>
  <si>
    <t>Customer_0275</t>
  </si>
  <si>
    <t>ORD0276</t>
  </si>
  <si>
    <t>03-10-2026</t>
  </si>
  <si>
    <t>Customer_0276</t>
  </si>
  <si>
    <t>ORD0277</t>
  </si>
  <si>
    <t>04-10-2026</t>
  </si>
  <si>
    <t>Customer_0277</t>
  </si>
  <si>
    <t>ORD0278</t>
  </si>
  <si>
    <t>05-10-2026</t>
  </si>
  <si>
    <t>Customer_0278</t>
  </si>
  <si>
    <t>ORD0279</t>
  </si>
  <si>
    <t>06-10-2026</t>
  </si>
  <si>
    <t>Customer_0279</t>
  </si>
  <si>
    <t>ORD0280</t>
  </si>
  <si>
    <t>07-10-2026</t>
  </si>
  <si>
    <t>Customer_0280</t>
  </si>
  <si>
    <t>ORD0281</t>
  </si>
  <si>
    <t>08-10-2026</t>
  </si>
  <si>
    <t>Customer_0281</t>
  </si>
  <si>
    <t>ORD0282</t>
  </si>
  <si>
    <t>09-10-2026</t>
  </si>
  <si>
    <t>Customer_0282</t>
  </si>
  <si>
    <t>ORD0283</t>
  </si>
  <si>
    <t>10-10-2026</t>
  </si>
  <si>
    <t>Customer_0283</t>
  </si>
  <si>
    <t>ORD0284</t>
  </si>
  <si>
    <t>11-10-2026</t>
  </si>
  <si>
    <t>Customer_0284</t>
  </si>
  <si>
    <t>ORD0285</t>
  </si>
  <si>
    <t>12-10-2026</t>
  </si>
  <si>
    <t>Customer_0285</t>
  </si>
  <si>
    <t>ORD0286</t>
  </si>
  <si>
    <t>13-10-2026</t>
  </si>
  <si>
    <t>Customer_0286</t>
  </si>
  <si>
    <t>ORD0287</t>
  </si>
  <si>
    <t>14-10-2026</t>
  </si>
  <si>
    <t>Customer_0287</t>
  </si>
  <si>
    <t>ORD0288</t>
  </si>
  <si>
    <t>15-10-2026</t>
  </si>
  <si>
    <t>Customer_0288</t>
  </si>
  <si>
    <t>ORD0289</t>
  </si>
  <si>
    <t>16-10-2026</t>
  </si>
  <si>
    <t>Customer_0289</t>
  </si>
  <si>
    <t>ORD0290</t>
  </si>
  <si>
    <t>17-10-2026</t>
  </si>
  <si>
    <t>Customer_0290</t>
  </si>
  <si>
    <t>ORD0291</t>
  </si>
  <si>
    <t>18-10-2026</t>
  </si>
  <si>
    <t>Customer_0291</t>
  </si>
  <si>
    <t>ORD0292</t>
  </si>
  <si>
    <t>19-10-2026</t>
  </si>
  <si>
    <t>Customer_0292</t>
  </si>
  <si>
    <t>ORD0293</t>
  </si>
  <si>
    <t>20-10-2026</t>
  </si>
  <si>
    <t>Customer_0293</t>
  </si>
  <si>
    <t>ORD0294</t>
  </si>
  <si>
    <t>21-10-2026</t>
  </si>
  <si>
    <t>Customer_0294</t>
  </si>
  <si>
    <t>ORD0295</t>
  </si>
  <si>
    <t>22-10-2026</t>
  </si>
  <si>
    <t>Customer_0295</t>
  </si>
  <si>
    <t>ORD0296</t>
  </si>
  <si>
    <t>23-10-2026</t>
  </si>
  <si>
    <t>Customer_0296</t>
  </si>
  <si>
    <t>ORD0297</t>
  </si>
  <si>
    <t>24-10-2026</t>
  </si>
  <si>
    <t>Customer_0297</t>
  </si>
  <si>
    <t>ORD0298</t>
  </si>
  <si>
    <t>25-10-2026</t>
  </si>
  <si>
    <t>Customer_0298</t>
  </si>
  <si>
    <t>ORD0299</t>
  </si>
  <si>
    <t>26-10-2026</t>
  </si>
  <si>
    <t>Customer_0299</t>
  </si>
  <si>
    <t>ORD0300</t>
  </si>
  <si>
    <t>27-10-2026</t>
  </si>
  <si>
    <t>Customer_0300</t>
  </si>
  <si>
    <t>ORD0301</t>
  </si>
  <si>
    <t>28-10-2026</t>
  </si>
  <si>
    <t>Customer_0301</t>
  </si>
  <si>
    <t>ORD0302</t>
  </si>
  <si>
    <t>29-10-2026</t>
  </si>
  <si>
    <t>Customer_0302</t>
  </si>
  <si>
    <t>ORD0303</t>
  </si>
  <si>
    <t>30-10-2026</t>
  </si>
  <si>
    <t>Customer_0303</t>
  </si>
  <si>
    <t>ORD0304</t>
  </si>
  <si>
    <t>31-10-2026</t>
  </si>
  <si>
    <t>Customer_0304</t>
  </si>
  <si>
    <t>ORD0305</t>
  </si>
  <si>
    <t>01-11-2026</t>
  </si>
  <si>
    <t>Customer_0305</t>
  </si>
  <si>
    <t>ORD0306</t>
  </si>
  <si>
    <t>02-11-2026</t>
  </si>
  <si>
    <t>Customer_0306</t>
  </si>
  <si>
    <t>ORD0307</t>
  </si>
  <si>
    <t>03-11-2026</t>
  </si>
  <si>
    <t>Customer_0307</t>
  </si>
  <si>
    <t>ORD0308</t>
  </si>
  <si>
    <t>04-11-2026</t>
  </si>
  <si>
    <t>Customer_0308</t>
  </si>
  <si>
    <t>ORD0309</t>
  </si>
  <si>
    <t>05-11-2026</t>
  </si>
  <si>
    <t>Customer_0309</t>
  </si>
  <si>
    <t>ORD0310</t>
  </si>
  <si>
    <t>06-11-2026</t>
  </si>
  <si>
    <t>Customer_0310</t>
  </si>
  <si>
    <t>ORD0311</t>
  </si>
  <si>
    <t>07-11-2026</t>
  </si>
  <si>
    <t>Customer_0311</t>
  </si>
  <si>
    <t>ORD0312</t>
  </si>
  <si>
    <t>08-11-2026</t>
  </si>
  <si>
    <t>Customer_0312</t>
  </si>
  <si>
    <t>ORD0313</t>
  </si>
  <si>
    <t>09-11-2026</t>
  </si>
  <si>
    <t>Customer_0313</t>
  </si>
  <si>
    <t>ORD0314</t>
  </si>
  <si>
    <t>10-11-2026</t>
  </si>
  <si>
    <t>Customer_0314</t>
  </si>
  <si>
    <t>ORD0315</t>
  </si>
  <si>
    <t>11-11-2026</t>
  </si>
  <si>
    <t>Customer_0315</t>
  </si>
  <si>
    <t>ORD0316</t>
  </si>
  <si>
    <t>12-11-2026</t>
  </si>
  <si>
    <t>Customer_0316</t>
  </si>
  <si>
    <t>ORD0317</t>
  </si>
  <si>
    <t>13-11-2026</t>
  </si>
  <si>
    <t>Customer_0317</t>
  </si>
  <si>
    <t>ORD0318</t>
  </si>
  <si>
    <t>14-11-2026</t>
  </si>
  <si>
    <t>Customer_0318</t>
  </si>
  <si>
    <t>ORD0319</t>
  </si>
  <si>
    <t>15-11-2026</t>
  </si>
  <si>
    <t>Customer_0319</t>
  </si>
  <si>
    <t>ORD0320</t>
  </si>
  <si>
    <t>16-11-2026</t>
  </si>
  <si>
    <t>Customer_0320</t>
  </si>
  <si>
    <t>ORD0321</t>
  </si>
  <si>
    <t>17-11-2026</t>
  </si>
  <si>
    <t>Customer_0321</t>
  </si>
  <si>
    <t>ORD0322</t>
  </si>
  <si>
    <t>18-11-2026</t>
  </si>
  <si>
    <t>Customer_0322</t>
  </si>
  <si>
    <t>ORD0323</t>
  </si>
  <si>
    <t>19-11-2026</t>
  </si>
  <si>
    <t>Customer_0323</t>
  </si>
  <si>
    <t>ORD0324</t>
  </si>
  <si>
    <t>20-11-2026</t>
  </si>
  <si>
    <t>Customer_0324</t>
  </si>
  <si>
    <t>ORD0325</t>
  </si>
  <si>
    <t>21-11-2026</t>
  </si>
  <si>
    <t>Customer_0325</t>
  </si>
  <si>
    <t>ORD0326</t>
  </si>
  <si>
    <t>22-11-2026</t>
  </si>
  <si>
    <t>Customer_0326</t>
  </si>
  <si>
    <t>ORD0327</t>
  </si>
  <si>
    <t>23-11-2026</t>
  </si>
  <si>
    <t>Customer_0327</t>
  </si>
  <si>
    <t>ORD0328</t>
  </si>
  <si>
    <t>24-11-2026</t>
  </si>
  <si>
    <t>Customer_0328</t>
  </si>
  <si>
    <t>ORD0329</t>
  </si>
  <si>
    <t>25-11-2026</t>
  </si>
  <si>
    <t>Customer_0329</t>
  </si>
  <si>
    <t>ORD0330</t>
  </si>
  <si>
    <t>26-11-2026</t>
  </si>
  <si>
    <t>Customer_0330</t>
  </si>
  <si>
    <t>ORD0331</t>
  </si>
  <si>
    <t>27-11-2026</t>
  </si>
  <si>
    <t>Customer_0331</t>
  </si>
  <si>
    <t>ORD0332</t>
  </si>
  <si>
    <t>28-11-2026</t>
  </si>
  <si>
    <t>Customer_0332</t>
  </si>
  <si>
    <t>ORD0333</t>
  </si>
  <si>
    <t>29-11-2026</t>
  </si>
  <si>
    <t>Customer_0333</t>
  </si>
  <si>
    <t>ORD0334</t>
  </si>
  <si>
    <t>30-11-2026</t>
  </si>
  <si>
    <t>Customer_0334</t>
  </si>
  <si>
    <t>ORD0335</t>
  </si>
  <si>
    <t>01-12-2026</t>
  </si>
  <si>
    <t>Customer_0335</t>
  </si>
  <si>
    <t>ORD0336</t>
  </si>
  <si>
    <t>02-12-2026</t>
  </si>
  <si>
    <t>Customer_0336</t>
  </si>
  <si>
    <t>ORD0337</t>
  </si>
  <si>
    <t>03-12-2026</t>
  </si>
  <si>
    <t>Customer_0337</t>
  </si>
  <si>
    <t>ORD0338</t>
  </si>
  <si>
    <t>04-12-2026</t>
  </si>
  <si>
    <t>Customer_0338</t>
  </si>
  <si>
    <t>ORD0339</t>
  </si>
  <si>
    <t>05-12-2026</t>
  </si>
  <si>
    <t>Customer_0339</t>
  </si>
  <si>
    <t>ORD0340</t>
  </si>
  <si>
    <t>06-12-2026</t>
  </si>
  <si>
    <t>Customer_0340</t>
  </si>
  <si>
    <t>ORD0341</t>
  </si>
  <si>
    <t>07-12-2026</t>
  </si>
  <si>
    <t>Customer_0341</t>
  </si>
  <si>
    <t>ORD0342</t>
  </si>
  <si>
    <t>08-12-2026</t>
  </si>
  <si>
    <t>Customer_0342</t>
  </si>
  <si>
    <t>ORD0343</t>
  </si>
  <si>
    <t>09-12-2026</t>
  </si>
  <si>
    <t>Customer_0343</t>
  </si>
  <si>
    <t>ORD0344</t>
  </si>
  <si>
    <t>10-12-2026</t>
  </si>
  <si>
    <t>Customer_0344</t>
  </si>
  <si>
    <t>ORD0345</t>
  </si>
  <si>
    <t>11-12-2026</t>
  </si>
  <si>
    <t>Customer_0345</t>
  </si>
  <si>
    <t>ORD0346</t>
  </si>
  <si>
    <t>12-12-2026</t>
  </si>
  <si>
    <t>Customer_0346</t>
  </si>
  <si>
    <t>ORD0347</t>
  </si>
  <si>
    <t>13-12-2026</t>
  </si>
  <si>
    <t>Customer_0347</t>
  </si>
  <si>
    <t>ORD0348</t>
  </si>
  <si>
    <t>14-12-2026</t>
  </si>
  <si>
    <t>Customer_0348</t>
  </si>
  <si>
    <t>ORD0349</t>
  </si>
  <si>
    <t>15-12-2026</t>
  </si>
  <si>
    <t>Customer_0349</t>
  </si>
  <si>
    <t>ORD0350</t>
  </si>
  <si>
    <t>16-12-2026</t>
  </si>
  <si>
    <t>Customer_0350</t>
  </si>
  <si>
    <t>ORD0351</t>
  </si>
  <si>
    <t>17-12-2026</t>
  </si>
  <si>
    <t>Customer_0351</t>
  </si>
  <si>
    <t>ORD0352</t>
  </si>
  <si>
    <t>18-12-2026</t>
  </si>
  <si>
    <t>Customer_0352</t>
  </si>
  <si>
    <t>ORD0353</t>
  </si>
  <si>
    <t>19-12-2026</t>
  </si>
  <si>
    <t>Customer_0353</t>
  </si>
  <si>
    <t>ORD0354</t>
  </si>
  <si>
    <t>20-12-2026</t>
  </si>
  <si>
    <t>Customer_0354</t>
  </si>
  <si>
    <t>ORD0355</t>
  </si>
  <si>
    <t>21-12-2026</t>
  </si>
  <si>
    <t>Customer_0355</t>
  </si>
  <si>
    <t>ORD0356</t>
  </si>
  <si>
    <t>22-12-2026</t>
  </si>
  <si>
    <t>Customer_0356</t>
  </si>
  <si>
    <t>ORD0357</t>
  </si>
  <si>
    <t>23-12-2026</t>
  </si>
  <si>
    <t>Customer_0357</t>
  </si>
  <si>
    <t>ORD0358</t>
  </si>
  <si>
    <t>24-12-2026</t>
  </si>
  <si>
    <t>Customer_0358</t>
  </si>
  <si>
    <t>ORD0359</t>
  </si>
  <si>
    <t>25-12-2026</t>
  </si>
  <si>
    <t>Customer_0359</t>
  </si>
  <si>
    <t>ORD0360</t>
  </si>
  <si>
    <t>26-12-2026</t>
  </si>
  <si>
    <t>Customer_0360</t>
  </si>
  <si>
    <t>ORD0361</t>
  </si>
  <si>
    <t>27-12-2026</t>
  </si>
  <si>
    <t>Customer_0361</t>
  </si>
  <si>
    <t>ORD0362</t>
  </si>
  <si>
    <t>28-12-2026</t>
  </si>
  <si>
    <t>Customer_0362</t>
  </si>
  <si>
    <t>ORD0363</t>
  </si>
  <si>
    <t>29-12-2026</t>
  </si>
  <si>
    <t>Customer_0363</t>
  </si>
  <si>
    <t>ORD0364</t>
  </si>
  <si>
    <t>30-12-2026</t>
  </si>
  <si>
    <t>Customer_0364</t>
  </si>
  <si>
    <t>ORD0365</t>
  </si>
  <si>
    <t>31-12-2026</t>
  </si>
  <si>
    <t>Customer_0365</t>
  </si>
  <si>
    <t>ORD0366</t>
  </si>
  <si>
    <t>Customer_0366</t>
  </si>
  <si>
    <t>ORD0367</t>
  </si>
  <si>
    <t>Customer_0367</t>
  </si>
  <si>
    <t>ORD0368</t>
  </si>
  <si>
    <t>Customer_0368</t>
  </si>
  <si>
    <t>ORD0369</t>
  </si>
  <si>
    <t>Customer_0369</t>
  </si>
  <si>
    <t>ORD0370</t>
  </si>
  <si>
    <t>Customer_0370</t>
  </si>
  <si>
    <t>ORD0371</t>
  </si>
  <si>
    <t>Customer_0371</t>
  </si>
  <si>
    <t>ORD0372</t>
  </si>
  <si>
    <t>Customer_0372</t>
  </si>
  <si>
    <t>ORD0373</t>
  </si>
  <si>
    <t>Customer_0373</t>
  </si>
  <si>
    <t>ORD0374</t>
  </si>
  <si>
    <t>Customer_0374</t>
  </si>
  <si>
    <t>ORD0375</t>
  </si>
  <si>
    <t>Customer_0375</t>
  </si>
  <si>
    <t>ORD0376</t>
  </si>
  <si>
    <t>Customer_0376</t>
  </si>
  <si>
    <t>ORD0377</t>
  </si>
  <si>
    <t>Customer_0377</t>
  </si>
  <si>
    <t>ORD0378</t>
  </si>
  <si>
    <t>Customer_0378</t>
  </si>
  <si>
    <t>ORD0379</t>
  </si>
  <si>
    <t>Customer_0379</t>
  </si>
  <si>
    <t>ORD0380</t>
  </si>
  <si>
    <t>Customer_0380</t>
  </si>
  <si>
    <t>ORD0381</t>
  </si>
  <si>
    <t>Customer_0381</t>
  </si>
  <si>
    <t>ORD0382</t>
  </si>
  <si>
    <t>Customer_0382</t>
  </si>
  <si>
    <t>ORD0383</t>
  </si>
  <si>
    <t>Customer_0383</t>
  </si>
  <si>
    <t>ORD0384</t>
  </si>
  <si>
    <t>Customer_0384</t>
  </si>
  <si>
    <t>ORD0385</t>
  </si>
  <si>
    <t>Customer_0385</t>
  </si>
  <si>
    <t>ORD0386</t>
  </si>
  <si>
    <t>Customer_0386</t>
  </si>
  <si>
    <t>ORD0387</t>
  </si>
  <si>
    <t>Customer_0387</t>
  </si>
  <si>
    <t>ORD0388</t>
  </si>
  <si>
    <t>Customer_0388</t>
  </si>
  <si>
    <t>ORD0389</t>
  </si>
  <si>
    <t>Customer_0389</t>
  </si>
  <si>
    <t>ORD0390</t>
  </si>
  <si>
    <t>Customer_0390</t>
  </si>
  <si>
    <t>ORD0391</t>
  </si>
  <si>
    <t>Customer_0391</t>
  </si>
  <si>
    <t>ORD0392</t>
  </si>
  <si>
    <t>Customer_0392</t>
  </si>
  <si>
    <t>ORD0393</t>
  </si>
  <si>
    <t>Customer_0393</t>
  </si>
  <si>
    <t>ORD0394</t>
  </si>
  <si>
    <t>Customer_0394</t>
  </si>
  <si>
    <t>ORD0395</t>
  </si>
  <si>
    <t>Customer_0395</t>
  </si>
  <si>
    <t>ORD0396</t>
  </si>
  <si>
    <t>Customer_0396</t>
  </si>
  <si>
    <t>ORD0397</t>
  </si>
  <si>
    <t>Customer_0397</t>
  </si>
  <si>
    <t>ORD0398</t>
  </si>
  <si>
    <t>Customer_0398</t>
  </si>
  <si>
    <t>ORD0399</t>
  </si>
  <si>
    <t>Customer_0399</t>
  </si>
  <si>
    <t>ORD0400</t>
  </si>
  <si>
    <t>Customer_0400</t>
  </si>
  <si>
    <t>ORD0401</t>
  </si>
  <si>
    <t>Customer_0401</t>
  </si>
  <si>
    <t>ORD0402</t>
  </si>
  <si>
    <t>Customer_0402</t>
  </si>
  <si>
    <t>ORD0403</t>
  </si>
  <si>
    <t>Customer_0403</t>
  </si>
  <si>
    <t>ORD0404</t>
  </si>
  <si>
    <t>Customer_0404</t>
  </si>
  <si>
    <t>ORD0405</t>
  </si>
  <si>
    <t>Customer_0405</t>
  </si>
  <si>
    <t>ORD0406</t>
  </si>
  <si>
    <t>Customer_0406</t>
  </si>
  <si>
    <t>ORD0407</t>
  </si>
  <si>
    <t>Customer_0407</t>
  </si>
  <si>
    <t>ORD0408</t>
  </si>
  <si>
    <t>Customer_0408</t>
  </si>
  <si>
    <t>ORD0409</t>
  </si>
  <si>
    <t>Customer_0409</t>
  </si>
  <si>
    <t>ORD0410</t>
  </si>
  <si>
    <t>Customer_0410</t>
  </si>
  <si>
    <t>ORD0411</t>
  </si>
  <si>
    <t>Customer_0411</t>
  </si>
  <si>
    <t>ORD0412</t>
  </si>
  <si>
    <t>Customer_0412</t>
  </si>
  <si>
    <t>ORD0413</t>
  </si>
  <si>
    <t>Customer_0413</t>
  </si>
  <si>
    <t>ORD0414</t>
  </si>
  <si>
    <t>Customer_0414</t>
  </si>
  <si>
    <t>ORD0415</t>
  </si>
  <si>
    <t>Customer_0415</t>
  </si>
  <si>
    <t>ORD0416</t>
  </si>
  <si>
    <t>Customer_0416</t>
  </si>
  <si>
    <t>ORD0417</t>
  </si>
  <si>
    <t>Customer_0417</t>
  </si>
  <si>
    <t>ORD0418</t>
  </si>
  <si>
    <t>Customer_0418</t>
  </si>
  <si>
    <t>ORD0419</t>
  </si>
  <si>
    <t>Customer_0419</t>
  </si>
  <si>
    <t>ORD0420</t>
  </si>
  <si>
    <t>Customer_0420</t>
  </si>
  <si>
    <t>ORD0421</t>
  </si>
  <si>
    <t>Customer_0421</t>
  </si>
  <si>
    <t>ORD0422</t>
  </si>
  <si>
    <t>Customer_0422</t>
  </si>
  <si>
    <t>ORD0423</t>
  </si>
  <si>
    <t>Customer_0423</t>
  </si>
  <si>
    <t>ORD0424</t>
  </si>
  <si>
    <t>Customer_0424</t>
  </si>
  <si>
    <t>ORD0425</t>
  </si>
  <si>
    <t>Customer_0425</t>
  </si>
  <si>
    <t>ORD0426</t>
  </si>
  <si>
    <t>Customer_0426</t>
  </si>
  <si>
    <t>ORD0427</t>
  </si>
  <si>
    <t>Customer_0427</t>
  </si>
  <si>
    <t>ORD0428</t>
  </si>
  <si>
    <t>Customer_0428</t>
  </si>
  <si>
    <t>ORD0429</t>
  </si>
  <si>
    <t>Customer_0429</t>
  </si>
  <si>
    <t>ORD0430</t>
  </si>
  <si>
    <t>Customer_0430</t>
  </si>
  <si>
    <t>ORD0431</t>
  </si>
  <si>
    <t>Customer_0431</t>
  </si>
  <si>
    <t>ORD0432</t>
  </si>
  <si>
    <t>Customer_0432</t>
  </si>
  <si>
    <t>ORD0433</t>
  </si>
  <si>
    <t>Customer_0433</t>
  </si>
  <si>
    <t>ORD0434</t>
  </si>
  <si>
    <t>Customer_0434</t>
  </si>
  <si>
    <t>ORD0435</t>
  </si>
  <si>
    <t>Customer_0435</t>
  </si>
  <si>
    <t>ORD0436</t>
  </si>
  <si>
    <t>Customer_0436</t>
  </si>
  <si>
    <t>ORD0437</t>
  </si>
  <si>
    <t>Customer_0437</t>
  </si>
  <si>
    <t>ORD0438</t>
  </si>
  <si>
    <t>Customer_0438</t>
  </si>
  <si>
    <t>ORD0439</t>
  </si>
  <si>
    <t>Customer_0439</t>
  </si>
  <si>
    <t>ORD0440</t>
  </si>
  <si>
    <t>Customer_0440</t>
  </si>
  <si>
    <t>ORD0441</t>
  </si>
  <si>
    <t>Customer_0441</t>
  </si>
  <si>
    <t>ORD0442</t>
  </si>
  <si>
    <t>Customer_0442</t>
  </si>
  <si>
    <t>ORD0443</t>
  </si>
  <si>
    <t>Customer_0443</t>
  </si>
  <si>
    <t>ORD0444</t>
  </si>
  <si>
    <t>Customer_0444</t>
  </si>
  <si>
    <t>ORD0445</t>
  </si>
  <si>
    <t>Customer_0445</t>
  </si>
  <si>
    <t>ORD0446</t>
  </si>
  <si>
    <t>Customer_0446</t>
  </si>
  <si>
    <t>ORD0447</t>
  </si>
  <si>
    <t>Customer_0447</t>
  </si>
  <si>
    <t>ORD0448</t>
  </si>
  <si>
    <t>Customer_0448</t>
  </si>
  <si>
    <t>ORD0449</t>
  </si>
  <si>
    <t>Customer_0449</t>
  </si>
  <si>
    <t>ORD0450</t>
  </si>
  <si>
    <t>Customer_0450</t>
  </si>
  <si>
    <t>ORD0451</t>
  </si>
  <si>
    <t>Customer_0451</t>
  </si>
  <si>
    <t>ORD0452</t>
  </si>
  <si>
    <t>Customer_0452</t>
  </si>
  <si>
    <t>ORD0453</t>
  </si>
  <si>
    <t>Customer_0453</t>
  </si>
  <si>
    <t>ORD0454</t>
  </si>
  <si>
    <t>Customer_0454</t>
  </si>
  <si>
    <t>ORD0455</t>
  </si>
  <si>
    <t>Customer_0455</t>
  </si>
  <si>
    <t>ORD0456</t>
  </si>
  <si>
    <t>Customer_0456</t>
  </si>
  <si>
    <t>ORD0457</t>
  </si>
  <si>
    <t>Customer_0457</t>
  </si>
  <si>
    <t>ORD0458</t>
  </si>
  <si>
    <t>Customer_0458</t>
  </si>
  <si>
    <t>ORD0459</t>
  </si>
  <si>
    <t>Customer_0459</t>
  </si>
  <si>
    <t>ORD0460</t>
  </si>
  <si>
    <t>Customer_0460</t>
  </si>
  <si>
    <t>ORD0461</t>
  </si>
  <si>
    <t>Customer_0461</t>
  </si>
  <si>
    <t>ORD0462</t>
  </si>
  <si>
    <t>Customer_0462</t>
  </si>
  <si>
    <t>ORD0463</t>
  </si>
  <si>
    <t>Customer_0463</t>
  </si>
  <si>
    <t>ORD0464</t>
  </si>
  <si>
    <t>Customer_0464</t>
  </si>
  <si>
    <t>ORD0465</t>
  </si>
  <si>
    <t>Customer_0465</t>
  </si>
  <si>
    <t>ORD0466</t>
  </si>
  <si>
    <t>Customer_0466</t>
  </si>
  <si>
    <t>ORD0467</t>
  </si>
  <si>
    <t>Customer_0467</t>
  </si>
  <si>
    <t>ORD0468</t>
  </si>
  <si>
    <t>Customer_0468</t>
  </si>
  <si>
    <t>ORD0469</t>
  </si>
  <si>
    <t>Customer_0469</t>
  </si>
  <si>
    <t>ORD0470</t>
  </si>
  <si>
    <t>Customer_0470</t>
  </si>
  <si>
    <t>ORD0471</t>
  </si>
  <si>
    <t>Customer_0471</t>
  </si>
  <si>
    <t>ORD0472</t>
  </si>
  <si>
    <t>Customer_0472</t>
  </si>
  <si>
    <t>ORD0473</t>
  </si>
  <si>
    <t>Customer_0473</t>
  </si>
  <si>
    <t>ORD0474</t>
  </si>
  <si>
    <t>Customer_0474</t>
  </si>
  <si>
    <t>ORD0475</t>
  </si>
  <si>
    <t>Customer_0475</t>
  </si>
  <si>
    <t>ORD0476</t>
  </si>
  <si>
    <t>Customer_0476</t>
  </si>
  <si>
    <t>ORD0477</t>
  </si>
  <si>
    <t>Customer_0477</t>
  </si>
  <si>
    <t>ORD0478</t>
  </si>
  <si>
    <t>Customer_0478</t>
  </si>
  <si>
    <t>ORD0479</t>
  </si>
  <si>
    <t>Customer_0479</t>
  </si>
  <si>
    <t>ORD0480</t>
  </si>
  <si>
    <t>Customer_0480</t>
  </si>
  <si>
    <t>ORD0481</t>
  </si>
  <si>
    <t>Customer_0481</t>
  </si>
  <si>
    <t>ORD0482</t>
  </si>
  <si>
    <t>Customer_0482</t>
  </si>
  <si>
    <t>ORD0483</t>
  </si>
  <si>
    <t>Customer_0483</t>
  </si>
  <si>
    <t>ORD0484</t>
  </si>
  <si>
    <t>Customer_0484</t>
  </si>
  <si>
    <t>ORD0485</t>
  </si>
  <si>
    <t>Customer_0485</t>
  </si>
  <si>
    <t>ORD0486</t>
  </si>
  <si>
    <t>Customer_0486</t>
  </si>
  <si>
    <t>ORD0487</t>
  </si>
  <si>
    <t>Customer_0487</t>
  </si>
  <si>
    <t>ORD0488</t>
  </si>
  <si>
    <t>Customer_0488</t>
  </si>
  <si>
    <t>ORD0489</t>
  </si>
  <si>
    <t>Customer_0489</t>
  </si>
  <si>
    <t>ORD0490</t>
  </si>
  <si>
    <t>Customer_0490</t>
  </si>
  <si>
    <t>ORD0491</t>
  </si>
  <si>
    <t>Customer_0491</t>
  </si>
  <si>
    <t>ORD0492</t>
  </si>
  <si>
    <t>Customer_0492</t>
  </si>
  <si>
    <t>ORD0493</t>
  </si>
  <si>
    <t>Customer_0493</t>
  </si>
  <si>
    <t>ORD0494</t>
  </si>
  <si>
    <t>Customer_0494</t>
  </si>
  <si>
    <t>ORD0495</t>
  </si>
  <si>
    <t>Customer_0495</t>
  </si>
  <si>
    <t>ORD0496</t>
  </si>
  <si>
    <t>Customer_0496</t>
  </si>
  <si>
    <t>ORD0497</t>
  </si>
  <si>
    <t>Customer_0497</t>
  </si>
  <si>
    <t>ORD0498</t>
  </si>
  <si>
    <t>Customer_0498</t>
  </si>
  <si>
    <t>ORD0499</t>
  </si>
  <si>
    <t>Customer_0499</t>
  </si>
  <si>
    <t>ORD0500</t>
  </si>
  <si>
    <t>Customer_0500</t>
  </si>
  <si>
    <t>ORD0501</t>
  </si>
  <si>
    <t>Customer_0501</t>
  </si>
  <si>
    <t>ORD0502</t>
  </si>
  <si>
    <t>Customer_0502</t>
  </si>
  <si>
    <t>ORD0503</t>
  </si>
  <si>
    <t>Customer_0503</t>
  </si>
  <si>
    <t>ORD0504</t>
  </si>
  <si>
    <t>Customer_0504</t>
  </si>
  <si>
    <t>ORD0505</t>
  </si>
  <si>
    <t>Customer_0505</t>
  </si>
  <si>
    <t>ORD0506</t>
  </si>
  <si>
    <t>Customer_0506</t>
  </si>
  <si>
    <t>ORD0507</t>
  </si>
  <si>
    <t>Customer_0507</t>
  </si>
  <si>
    <t>ORD0508</t>
  </si>
  <si>
    <t>Customer_0508</t>
  </si>
  <si>
    <t>ORD0509</t>
  </si>
  <si>
    <t>Customer_0509</t>
  </si>
  <si>
    <t>ORD0510</t>
  </si>
  <si>
    <t>Customer_0510</t>
  </si>
  <si>
    <t>ORD0511</t>
  </si>
  <si>
    <t>Customer_0511</t>
  </si>
  <si>
    <t>ORD0512</t>
  </si>
  <si>
    <t>Customer_0512</t>
  </si>
  <si>
    <t>ORD0513</t>
  </si>
  <si>
    <t>Customer_0513</t>
  </si>
  <si>
    <t>ORD0514</t>
  </si>
  <si>
    <t>Customer_0514</t>
  </si>
  <si>
    <t>ORD0515</t>
  </si>
  <si>
    <t>Customer_0515</t>
  </si>
  <si>
    <t>ORD0516</t>
  </si>
  <si>
    <t>Customer_0516</t>
  </si>
  <si>
    <t>ORD0517</t>
  </si>
  <si>
    <t>Customer_0517</t>
  </si>
  <si>
    <t>ORD0518</t>
  </si>
  <si>
    <t>Customer_0518</t>
  </si>
  <si>
    <t>ORD0519</t>
  </si>
  <si>
    <t>Customer_0519</t>
  </si>
  <si>
    <t>ORD0520</t>
  </si>
  <si>
    <t>Customer_0520</t>
  </si>
  <si>
    <t>ORD0521</t>
  </si>
  <si>
    <t>Customer_0521</t>
  </si>
  <si>
    <t>ORD0522</t>
  </si>
  <si>
    <t>Customer_0522</t>
  </si>
  <si>
    <t>ORD0523</t>
  </si>
  <si>
    <t>Customer_0523</t>
  </si>
  <si>
    <t>ORD0524</t>
  </si>
  <si>
    <t>Customer_0524</t>
  </si>
  <si>
    <t>ORD0525</t>
  </si>
  <si>
    <t>Customer_0525</t>
  </si>
  <si>
    <t>ORD0526</t>
  </si>
  <si>
    <t>Customer_0526</t>
  </si>
  <si>
    <t>ORD0527</t>
  </si>
  <si>
    <t>Customer_0527</t>
  </si>
  <si>
    <t>ORD0528</t>
  </si>
  <si>
    <t>Customer_0528</t>
  </si>
  <si>
    <t>ORD0529</t>
  </si>
  <si>
    <t>Customer_0529</t>
  </si>
  <si>
    <t>ORD0530</t>
  </si>
  <si>
    <t>Customer_0530</t>
  </si>
  <si>
    <t>ORD0531</t>
  </si>
  <si>
    <t>Customer_0531</t>
  </si>
  <si>
    <t>ORD0532</t>
  </si>
  <si>
    <t>Customer_0532</t>
  </si>
  <si>
    <t>ORD0533</t>
  </si>
  <si>
    <t>Customer_0533</t>
  </si>
  <si>
    <t>ORD0534</t>
  </si>
  <si>
    <t>Customer_0534</t>
  </si>
  <si>
    <t>ORD0535</t>
  </si>
  <si>
    <t>Customer_0535</t>
  </si>
  <si>
    <t>ORD0536</t>
  </si>
  <si>
    <t>Customer_0536</t>
  </si>
  <si>
    <t>ORD0537</t>
  </si>
  <si>
    <t>Customer_0537</t>
  </si>
  <si>
    <t>ORD0538</t>
  </si>
  <si>
    <t>Customer_0538</t>
  </si>
  <si>
    <t>ORD0539</t>
  </si>
  <si>
    <t>Customer_0539</t>
  </si>
  <si>
    <t>ORD0540</t>
  </si>
  <si>
    <t>Customer_0540</t>
  </si>
  <si>
    <t>ORD0541</t>
  </si>
  <si>
    <t>Customer_0541</t>
  </si>
  <si>
    <t>ORD0542</t>
  </si>
  <si>
    <t>Customer_0542</t>
  </si>
  <si>
    <t>ORD0543</t>
  </si>
  <si>
    <t>Customer_0543</t>
  </si>
  <si>
    <t>ORD0544</t>
  </si>
  <si>
    <t>Customer_0544</t>
  </si>
  <si>
    <t>ORD0545</t>
  </si>
  <si>
    <t>Customer_0545</t>
  </si>
  <si>
    <t>ORD0546</t>
  </si>
  <si>
    <t>Customer_0546</t>
  </si>
  <si>
    <t>ORD0547</t>
  </si>
  <si>
    <t>Customer_0547</t>
  </si>
  <si>
    <t>ORD0548</t>
  </si>
  <si>
    <t>Customer_0548</t>
  </si>
  <si>
    <t>ORD0549</t>
  </si>
  <si>
    <t>Customer_0549</t>
  </si>
  <si>
    <t>ORD0550</t>
  </si>
  <si>
    <t>Customer_0550</t>
  </si>
  <si>
    <t>ORD0551</t>
  </si>
  <si>
    <t>Customer_0551</t>
  </si>
  <si>
    <t>ORD0552</t>
  </si>
  <si>
    <t>Customer_0552</t>
  </si>
  <si>
    <t>ORD0553</t>
  </si>
  <si>
    <t>Customer_0553</t>
  </si>
  <si>
    <t>ORD0554</t>
  </si>
  <si>
    <t>Customer_0554</t>
  </si>
  <si>
    <t>ORD0555</t>
  </si>
  <si>
    <t>Customer_0555</t>
  </si>
  <si>
    <t>ORD0556</t>
  </si>
  <si>
    <t>Customer_0556</t>
  </si>
  <si>
    <t>ORD0557</t>
  </si>
  <si>
    <t>Customer_0557</t>
  </si>
  <si>
    <t>ORD0558</t>
  </si>
  <si>
    <t>Customer_0558</t>
  </si>
  <si>
    <t>ORD0559</t>
  </si>
  <si>
    <t>Customer_0559</t>
  </si>
  <si>
    <t>ORD0560</t>
  </si>
  <si>
    <t>Customer_0560</t>
  </si>
  <si>
    <t>ORD0561</t>
  </si>
  <si>
    <t>Customer_0561</t>
  </si>
  <si>
    <t>ORD0562</t>
  </si>
  <si>
    <t>Customer_0562</t>
  </si>
  <si>
    <t>ORD0563</t>
  </si>
  <si>
    <t>Customer_0563</t>
  </si>
  <si>
    <t>ORD0564</t>
  </si>
  <si>
    <t>Customer_0564</t>
  </si>
  <si>
    <t>ORD0565</t>
  </si>
  <si>
    <t>Customer_0565</t>
  </si>
  <si>
    <t>ORD0566</t>
  </si>
  <si>
    <t>Customer_0566</t>
  </si>
  <si>
    <t>ORD0567</t>
  </si>
  <si>
    <t>Customer_0567</t>
  </si>
  <si>
    <t>ORD0568</t>
  </si>
  <si>
    <t>Customer_0568</t>
  </si>
  <si>
    <t>ORD0569</t>
  </si>
  <si>
    <t>Customer_0569</t>
  </si>
  <si>
    <t>ORD0570</t>
  </si>
  <si>
    <t>Customer_0570</t>
  </si>
  <si>
    <t>ORD0571</t>
  </si>
  <si>
    <t>Customer_0571</t>
  </si>
  <si>
    <t>ORD0572</t>
  </si>
  <si>
    <t>Customer_0572</t>
  </si>
  <si>
    <t>ORD0573</t>
  </si>
  <si>
    <t>Customer_0573</t>
  </si>
  <si>
    <t>ORD0574</t>
  </si>
  <si>
    <t>Customer_0574</t>
  </si>
  <si>
    <t>ORD0575</t>
  </si>
  <si>
    <t>Customer_0575</t>
  </si>
  <si>
    <t>ORD0576</t>
  </si>
  <si>
    <t>Customer_0576</t>
  </si>
  <si>
    <t>ORD0577</t>
  </si>
  <si>
    <t>Customer_0577</t>
  </si>
  <si>
    <t>ORD0578</t>
  </si>
  <si>
    <t>Customer_0578</t>
  </si>
  <si>
    <t>ORD0579</t>
  </si>
  <si>
    <t>Customer_0579</t>
  </si>
  <si>
    <t>ORD0580</t>
  </si>
  <si>
    <t>Customer_0580</t>
  </si>
  <si>
    <t>ORD0581</t>
  </si>
  <si>
    <t>Customer_0581</t>
  </si>
  <si>
    <t>ORD0582</t>
  </si>
  <si>
    <t>Customer_0582</t>
  </si>
  <si>
    <t>ORD0583</t>
  </si>
  <si>
    <t>Customer_0583</t>
  </si>
  <si>
    <t>ORD0584</t>
  </si>
  <si>
    <t>Customer_0584</t>
  </si>
  <si>
    <t>ORD0585</t>
  </si>
  <si>
    <t>Customer_0585</t>
  </si>
  <si>
    <t>ORD0586</t>
  </si>
  <si>
    <t>Customer_0586</t>
  </si>
  <si>
    <t>ORD0587</t>
  </si>
  <si>
    <t>Customer_0587</t>
  </si>
  <si>
    <t>ORD0588</t>
  </si>
  <si>
    <t>Customer_0588</t>
  </si>
  <si>
    <t>ORD0589</t>
  </si>
  <si>
    <t>Customer_0589</t>
  </si>
  <si>
    <t>ORD0590</t>
  </si>
  <si>
    <t>Customer_0590</t>
  </si>
  <si>
    <t>ORD0591</t>
  </si>
  <si>
    <t>Customer_0591</t>
  </si>
  <si>
    <t>ORD0592</t>
  </si>
  <si>
    <t>Customer_0592</t>
  </si>
  <si>
    <t>ORD0593</t>
  </si>
  <si>
    <t>Customer_0593</t>
  </si>
  <si>
    <t>ORD0594</t>
  </si>
  <si>
    <t>Customer_0594</t>
  </si>
  <si>
    <t>ORD0595</t>
  </si>
  <si>
    <t>Customer_0595</t>
  </si>
  <si>
    <t>ORD0596</t>
  </si>
  <si>
    <t>Customer_0596</t>
  </si>
  <si>
    <t>ORD0597</t>
  </si>
  <si>
    <t>Customer_0597</t>
  </si>
  <si>
    <t>ORD0598</t>
  </si>
  <si>
    <t>Customer_0598</t>
  </si>
  <si>
    <t>ORD0599</t>
  </si>
  <si>
    <t>Customer_0599</t>
  </si>
  <si>
    <t>ORD0600</t>
  </si>
  <si>
    <t>Customer_0600</t>
  </si>
  <si>
    <t>ORD0601</t>
  </si>
  <si>
    <t>Customer_0601</t>
  </si>
  <si>
    <t>ORD0602</t>
  </si>
  <si>
    <t>Customer_0602</t>
  </si>
  <si>
    <t>ORD0603</t>
  </si>
  <si>
    <t>Customer_0603</t>
  </si>
  <si>
    <t>ORD0604</t>
  </si>
  <si>
    <t>Customer_0604</t>
  </si>
  <si>
    <t>ORD0605</t>
  </si>
  <si>
    <t>Customer_0605</t>
  </si>
  <si>
    <t>ORD0606</t>
  </si>
  <si>
    <t>Customer_0606</t>
  </si>
  <si>
    <t>ORD0607</t>
  </si>
  <si>
    <t>Customer_0607</t>
  </si>
  <si>
    <t>ORD0608</t>
  </si>
  <si>
    <t>Customer_0608</t>
  </si>
  <si>
    <t>ORD0609</t>
  </si>
  <si>
    <t>Customer_0609</t>
  </si>
  <si>
    <t>ORD0610</t>
  </si>
  <si>
    <t>Customer_0610</t>
  </si>
  <si>
    <t>ORD0611</t>
  </si>
  <si>
    <t>Customer_0611</t>
  </si>
  <si>
    <t>ORD0612</t>
  </si>
  <si>
    <t>Customer_0612</t>
  </si>
  <si>
    <t>ORD0613</t>
  </si>
  <si>
    <t>Customer_0613</t>
  </si>
  <si>
    <t>ORD0614</t>
  </si>
  <si>
    <t>Customer_0614</t>
  </si>
  <si>
    <t>ORD0615</t>
  </si>
  <si>
    <t>Customer_0615</t>
  </si>
  <si>
    <t>ORD0616</t>
  </si>
  <si>
    <t>Customer_0616</t>
  </si>
  <si>
    <t>ORD0617</t>
  </si>
  <si>
    <t>Customer_0617</t>
  </si>
  <si>
    <t>ORD0618</t>
  </si>
  <si>
    <t>Customer_0618</t>
  </si>
  <si>
    <t>ORD0619</t>
  </si>
  <si>
    <t>Customer_0619</t>
  </si>
  <si>
    <t>ORD0620</t>
  </si>
  <si>
    <t>Customer_0620</t>
  </si>
  <si>
    <t>ORD0621</t>
  </si>
  <si>
    <t>Customer_0621</t>
  </si>
  <si>
    <t>ORD0622</t>
  </si>
  <si>
    <t>Customer_0622</t>
  </si>
  <si>
    <t>ORD0623</t>
  </si>
  <si>
    <t>Customer_0623</t>
  </si>
  <si>
    <t>ORD0624</t>
  </si>
  <si>
    <t>Customer_0624</t>
  </si>
  <si>
    <t>ORD0625</t>
  </si>
  <si>
    <t>Customer_0625</t>
  </si>
  <si>
    <t>ORD0626</t>
  </si>
  <si>
    <t>Customer_0626</t>
  </si>
  <si>
    <t>ORD0627</t>
  </si>
  <si>
    <t>Customer_0627</t>
  </si>
  <si>
    <t>ORD0628</t>
  </si>
  <si>
    <t>Customer_0628</t>
  </si>
  <si>
    <t>ORD0629</t>
  </si>
  <si>
    <t>Customer_0629</t>
  </si>
  <si>
    <t>ORD0630</t>
  </si>
  <si>
    <t>Customer_0630</t>
  </si>
  <si>
    <t>ORD0631</t>
  </si>
  <si>
    <t>Customer_0631</t>
  </si>
  <si>
    <t>ORD0632</t>
  </si>
  <si>
    <t>Customer_0632</t>
  </si>
  <si>
    <t>ORD0633</t>
  </si>
  <si>
    <t>Customer_0633</t>
  </si>
  <si>
    <t>ORD0634</t>
  </si>
  <si>
    <t>Customer_0634</t>
  </si>
  <si>
    <t>ORD0635</t>
  </si>
  <si>
    <t>Customer_0635</t>
  </si>
  <si>
    <t>ORD0636</t>
  </si>
  <si>
    <t>Customer_0636</t>
  </si>
  <si>
    <t>ORD0637</t>
  </si>
  <si>
    <t>Customer_0637</t>
  </si>
  <si>
    <t>ORD0638</t>
  </si>
  <si>
    <t>Customer_0638</t>
  </si>
  <si>
    <t>ORD0639</t>
  </si>
  <si>
    <t>Customer_0639</t>
  </si>
  <si>
    <t>ORD0640</t>
  </si>
  <si>
    <t>Customer_0640</t>
  </si>
  <si>
    <t>ORD0641</t>
  </si>
  <si>
    <t>Customer_0641</t>
  </si>
  <si>
    <t>ORD0642</t>
  </si>
  <si>
    <t>Customer_0642</t>
  </si>
  <si>
    <t>ORD0643</t>
  </si>
  <si>
    <t>Customer_0643</t>
  </si>
  <si>
    <t>ORD0644</t>
  </si>
  <si>
    <t>Customer_0644</t>
  </si>
  <si>
    <t>ORD0645</t>
  </si>
  <si>
    <t>Customer_0645</t>
  </si>
  <si>
    <t>ORD0646</t>
  </si>
  <si>
    <t>Customer_0646</t>
  </si>
  <si>
    <t>ORD0647</t>
  </si>
  <si>
    <t>Customer_0647</t>
  </si>
  <si>
    <t>ORD0648</t>
  </si>
  <si>
    <t>Customer_0648</t>
  </si>
  <si>
    <t>ORD0649</t>
  </si>
  <si>
    <t>Customer_0649</t>
  </si>
  <si>
    <t>ORD0650</t>
  </si>
  <si>
    <t>Customer_0650</t>
  </si>
  <si>
    <t>ORD0651</t>
  </si>
  <si>
    <t>Customer_0651</t>
  </si>
  <si>
    <t>ORD0652</t>
  </si>
  <si>
    <t>Customer_0652</t>
  </si>
  <si>
    <t>ORD0653</t>
  </si>
  <si>
    <t>Customer_0653</t>
  </si>
  <si>
    <t>ORD0654</t>
  </si>
  <si>
    <t>Customer_0654</t>
  </si>
  <si>
    <t>ORD0655</t>
  </si>
  <si>
    <t>Customer_0655</t>
  </si>
  <si>
    <t>ORD0656</t>
  </si>
  <si>
    <t>Customer_0656</t>
  </si>
  <si>
    <t>ORD0657</t>
  </si>
  <si>
    <t>Customer_0657</t>
  </si>
  <si>
    <t>ORD0658</t>
  </si>
  <si>
    <t>Customer_0658</t>
  </si>
  <si>
    <t>ORD0659</t>
  </si>
  <si>
    <t>Customer_0659</t>
  </si>
  <si>
    <t>ORD0660</t>
  </si>
  <si>
    <t>Customer_0660</t>
  </si>
  <si>
    <t>ORD0661</t>
  </si>
  <si>
    <t>Customer_0661</t>
  </si>
  <si>
    <t>ORD0662</t>
  </si>
  <si>
    <t>Customer_0662</t>
  </si>
  <si>
    <t>ORD0663</t>
  </si>
  <si>
    <t>Customer_0663</t>
  </si>
  <si>
    <t>ORD0664</t>
  </si>
  <si>
    <t>Customer_0664</t>
  </si>
  <si>
    <t>ORD0665</t>
  </si>
  <si>
    <t>Customer_0665</t>
  </si>
  <si>
    <t>ORD0666</t>
  </si>
  <si>
    <t>Customer_0666</t>
  </si>
  <si>
    <t>ORD0667</t>
  </si>
  <si>
    <t>Customer_0667</t>
  </si>
  <si>
    <t>ORD0668</t>
  </si>
  <si>
    <t>Customer_0668</t>
  </si>
  <si>
    <t>ORD0669</t>
  </si>
  <si>
    <t>Customer_0669</t>
  </si>
  <si>
    <t>ORD0670</t>
  </si>
  <si>
    <t>Customer_0670</t>
  </si>
  <si>
    <t>ORD0671</t>
  </si>
  <si>
    <t>Customer_0671</t>
  </si>
  <si>
    <t>ORD0672</t>
  </si>
  <si>
    <t>Customer_0672</t>
  </si>
  <si>
    <t>ORD0673</t>
  </si>
  <si>
    <t>Customer_0673</t>
  </si>
  <si>
    <t>ORD0674</t>
  </si>
  <si>
    <t>Customer_0674</t>
  </si>
  <si>
    <t>ORD0675</t>
  </si>
  <si>
    <t>Customer_0675</t>
  </si>
  <si>
    <t>ORD0676</t>
  </si>
  <si>
    <t>Customer_0676</t>
  </si>
  <si>
    <t>ORD0677</t>
  </si>
  <si>
    <t>Customer_0677</t>
  </si>
  <si>
    <t>ORD0678</t>
  </si>
  <si>
    <t>Customer_0678</t>
  </si>
  <si>
    <t>ORD0679</t>
  </si>
  <si>
    <t>Customer_0679</t>
  </si>
  <si>
    <t>ORD0680</t>
  </si>
  <si>
    <t>Customer_0680</t>
  </si>
  <si>
    <t>ORD0681</t>
  </si>
  <si>
    <t>Customer_0681</t>
  </si>
  <si>
    <t>ORD0682</t>
  </si>
  <si>
    <t>Customer_0682</t>
  </si>
  <si>
    <t>ORD0683</t>
  </si>
  <si>
    <t>Customer_0683</t>
  </si>
  <si>
    <t>ORD0684</t>
  </si>
  <si>
    <t>Customer_0684</t>
  </si>
  <si>
    <t>ORD0685</t>
  </si>
  <si>
    <t>Customer_0685</t>
  </si>
  <si>
    <t>ORD0686</t>
  </si>
  <si>
    <t>Customer_0686</t>
  </si>
  <si>
    <t>ORD0687</t>
  </si>
  <si>
    <t>Customer_0687</t>
  </si>
  <si>
    <t>ORD0688</t>
  </si>
  <si>
    <t>Customer_0688</t>
  </si>
  <si>
    <t>ORD0689</t>
  </si>
  <si>
    <t>Customer_0689</t>
  </si>
  <si>
    <t>ORD0690</t>
  </si>
  <si>
    <t>Customer_0690</t>
  </si>
  <si>
    <t>ORD0691</t>
  </si>
  <si>
    <t>Customer_0691</t>
  </si>
  <si>
    <t>ORD0692</t>
  </si>
  <si>
    <t>Customer_0692</t>
  </si>
  <si>
    <t>ORD0693</t>
  </si>
  <si>
    <t>Customer_0693</t>
  </si>
  <si>
    <t>ORD0694</t>
  </si>
  <si>
    <t>Customer_0694</t>
  </si>
  <si>
    <t>ORD0695</t>
  </si>
  <si>
    <t>Customer_0695</t>
  </si>
  <si>
    <t>ORD0696</t>
  </si>
  <si>
    <t>Customer_0696</t>
  </si>
  <si>
    <t>ORD0697</t>
  </si>
  <si>
    <t>Customer_0697</t>
  </si>
  <si>
    <t>ORD0698</t>
  </si>
  <si>
    <t>Customer_0698</t>
  </si>
  <si>
    <t>ORD0699</t>
  </si>
  <si>
    <t>Customer_0699</t>
  </si>
  <si>
    <t>ORD0700</t>
  </si>
  <si>
    <t>Customer_0700</t>
  </si>
  <si>
    <t>ORD0701</t>
  </si>
  <si>
    <t>Customer_0701</t>
  </si>
  <si>
    <t>ORD0702</t>
  </si>
  <si>
    <t>Customer_0702</t>
  </si>
  <si>
    <t>ORD0703</t>
  </si>
  <si>
    <t>Customer_0703</t>
  </si>
  <si>
    <t>ORD0704</t>
  </si>
  <si>
    <t>Customer_0704</t>
  </si>
  <si>
    <t>ORD0705</t>
  </si>
  <si>
    <t>Customer_0705</t>
  </si>
  <si>
    <t>ORD0706</t>
  </si>
  <si>
    <t>Customer_0706</t>
  </si>
  <si>
    <t>ORD0707</t>
  </si>
  <si>
    <t>Customer_0707</t>
  </si>
  <si>
    <t>ORD0708</t>
  </si>
  <si>
    <t>Customer_0708</t>
  </si>
  <si>
    <t>ORD0709</t>
  </si>
  <si>
    <t>Customer_0709</t>
  </si>
  <si>
    <t>ORD0710</t>
  </si>
  <si>
    <t>Customer_0710</t>
  </si>
  <si>
    <t>ORD0711</t>
  </si>
  <si>
    <t>Customer_0711</t>
  </si>
  <si>
    <t>ORD0712</t>
  </si>
  <si>
    <t>Customer_0712</t>
  </si>
  <si>
    <t>ORD0713</t>
  </si>
  <si>
    <t>Customer_0713</t>
  </si>
  <si>
    <t>ORD0714</t>
  </si>
  <si>
    <t>Customer_0714</t>
  </si>
  <si>
    <t>ORD0715</t>
  </si>
  <si>
    <t>Customer_0715</t>
  </si>
  <si>
    <t>ORD0716</t>
  </si>
  <si>
    <t>Customer_0716</t>
  </si>
  <si>
    <t>ORD0717</t>
  </si>
  <si>
    <t>Customer_0717</t>
  </si>
  <si>
    <t>ORD0718</t>
  </si>
  <si>
    <t>Customer_0718</t>
  </si>
  <si>
    <t>ORD0719</t>
  </si>
  <si>
    <t>Customer_0719</t>
  </si>
  <si>
    <t>ORD0720</t>
  </si>
  <si>
    <t>Customer_0720</t>
  </si>
  <si>
    <t>ORD0721</t>
  </si>
  <si>
    <t>Customer_0721</t>
  </si>
  <si>
    <t>ORD0722</t>
  </si>
  <si>
    <t>Customer_0722</t>
  </si>
  <si>
    <t>ORD0723</t>
  </si>
  <si>
    <t>Customer_0723</t>
  </si>
  <si>
    <t>ORD0724</t>
  </si>
  <si>
    <t>Customer_0724</t>
  </si>
  <si>
    <t>ORD0725</t>
  </si>
  <si>
    <t>Customer_0725</t>
  </si>
  <si>
    <t>ORD0726</t>
  </si>
  <si>
    <t>Customer_0726</t>
  </si>
  <si>
    <t>ORD0727</t>
  </si>
  <si>
    <t>Customer_0727</t>
  </si>
  <si>
    <t>ORD0728</t>
  </si>
  <si>
    <t>Customer_0728</t>
  </si>
  <si>
    <t>ORD0729</t>
  </si>
  <si>
    <t>Customer_0729</t>
  </si>
  <si>
    <t>ORD0730</t>
  </si>
  <si>
    <t>Customer_0730</t>
  </si>
  <si>
    <t>ORD0731</t>
  </si>
  <si>
    <t>Customer_0731</t>
  </si>
  <si>
    <t>ORD0732</t>
  </si>
  <si>
    <t>Customer_0732</t>
  </si>
  <si>
    <t>ORD0733</t>
  </si>
  <si>
    <t>Customer_0733</t>
  </si>
  <si>
    <t>ORD0734</t>
  </si>
  <si>
    <t>Customer_0734</t>
  </si>
  <si>
    <t>ORD0735</t>
  </si>
  <si>
    <t>Customer_0735</t>
  </si>
  <si>
    <t>ORD0736</t>
  </si>
  <si>
    <t>Customer_0736</t>
  </si>
  <si>
    <t>ORD0737</t>
  </si>
  <si>
    <t>Customer_0737</t>
  </si>
  <si>
    <t>ORD0738</t>
  </si>
  <si>
    <t>Customer_0738</t>
  </si>
  <si>
    <t>ORD0739</t>
  </si>
  <si>
    <t>Customer_0739</t>
  </si>
  <si>
    <t>ORD0740</t>
  </si>
  <si>
    <t>Customer_0740</t>
  </si>
  <si>
    <t>ORD0741</t>
  </si>
  <si>
    <t>Customer_0741</t>
  </si>
  <si>
    <t>ORD0742</t>
  </si>
  <si>
    <t>Customer_0742</t>
  </si>
  <si>
    <t>ORD0743</t>
  </si>
  <si>
    <t>Customer_0743</t>
  </si>
  <si>
    <t>ORD0744</t>
  </si>
  <si>
    <t>Customer_0744</t>
  </si>
  <si>
    <t>ORD0745</t>
  </si>
  <si>
    <t>Customer_0745</t>
  </si>
  <si>
    <t>ORD0746</t>
  </si>
  <si>
    <t>Customer_0746</t>
  </si>
  <si>
    <t>ORD0747</t>
  </si>
  <si>
    <t>Customer_0747</t>
  </si>
  <si>
    <t>ORD0748</t>
  </si>
  <si>
    <t>Customer_0748</t>
  </si>
  <si>
    <t>ORD0749</t>
  </si>
  <si>
    <t>Customer_0749</t>
  </si>
  <si>
    <t>ORD0750</t>
  </si>
  <si>
    <t>Customer_0750</t>
  </si>
  <si>
    <t>ORD0751</t>
  </si>
  <si>
    <t>Customer_0751</t>
  </si>
  <si>
    <t>ORD0752</t>
  </si>
  <si>
    <t>Customer_0752</t>
  </si>
  <si>
    <t>ORD0753</t>
  </si>
  <si>
    <t>Customer_0753</t>
  </si>
  <si>
    <t>ORD0754</t>
  </si>
  <si>
    <t>Customer_0754</t>
  </si>
  <si>
    <t>ORD0755</t>
  </si>
  <si>
    <t>Customer_0755</t>
  </si>
  <si>
    <t>ORD0756</t>
  </si>
  <si>
    <t>Customer_0756</t>
  </si>
  <si>
    <t>ORD0757</t>
  </si>
  <si>
    <t>Customer_0757</t>
  </si>
  <si>
    <t>ORD0758</t>
  </si>
  <si>
    <t>Customer_0758</t>
  </si>
  <si>
    <t>ORD0759</t>
  </si>
  <si>
    <t>Customer_0759</t>
  </si>
  <si>
    <t>ORD0760</t>
  </si>
  <si>
    <t>Customer_0760</t>
  </si>
  <si>
    <t>ORD0761</t>
  </si>
  <si>
    <t>Customer_0761</t>
  </si>
  <si>
    <t>ORD0762</t>
  </si>
  <si>
    <t>Customer_0762</t>
  </si>
  <si>
    <t>ORD0763</t>
  </si>
  <si>
    <t>Customer_0763</t>
  </si>
  <si>
    <t>ORD0764</t>
  </si>
  <si>
    <t>Customer_0764</t>
  </si>
  <si>
    <t>ORD0765</t>
  </si>
  <si>
    <t>Customer_0765</t>
  </si>
  <si>
    <t>ORD0766</t>
  </si>
  <si>
    <t>Customer_0766</t>
  </si>
  <si>
    <t>ORD0767</t>
  </si>
  <si>
    <t>Customer_0767</t>
  </si>
  <si>
    <t>ORD0768</t>
  </si>
  <si>
    <t>Customer_0768</t>
  </si>
  <si>
    <t>ORD0769</t>
  </si>
  <si>
    <t>Customer_0769</t>
  </si>
  <si>
    <t>ORD0770</t>
  </si>
  <si>
    <t>Customer_0770</t>
  </si>
  <si>
    <t>ORD0771</t>
  </si>
  <si>
    <t>Customer_0771</t>
  </si>
  <si>
    <t>ORD0772</t>
  </si>
  <si>
    <t>Customer_0772</t>
  </si>
  <si>
    <t>ORD0773</t>
  </si>
  <si>
    <t>Customer_0773</t>
  </si>
  <si>
    <t>ORD0774</t>
  </si>
  <si>
    <t>Customer_0774</t>
  </si>
  <si>
    <t>ORD0775</t>
  </si>
  <si>
    <t>Customer_0775</t>
  </si>
  <si>
    <t>ORD0776</t>
  </si>
  <si>
    <t>Customer_0776</t>
  </si>
  <si>
    <t>ORD0777</t>
  </si>
  <si>
    <t>Customer_0777</t>
  </si>
  <si>
    <t>ORD0778</t>
  </si>
  <si>
    <t>Customer_0778</t>
  </si>
  <si>
    <t>ORD0779</t>
  </si>
  <si>
    <t>Customer_0779</t>
  </si>
  <si>
    <t>ORD0780</t>
  </si>
  <si>
    <t>Customer_0780</t>
  </si>
  <si>
    <t>ORD0781</t>
  </si>
  <si>
    <t>Customer_0781</t>
  </si>
  <si>
    <t>ORD0782</t>
  </si>
  <si>
    <t>Customer_0782</t>
  </si>
  <si>
    <t>ORD0783</t>
  </si>
  <si>
    <t>Customer_0783</t>
  </si>
  <si>
    <t>ORD0784</t>
  </si>
  <si>
    <t>Customer_0784</t>
  </si>
  <si>
    <t>ORD0785</t>
  </si>
  <si>
    <t>Customer_0785</t>
  </si>
  <si>
    <t>ORD0786</t>
  </si>
  <si>
    <t>Customer_0786</t>
  </si>
  <si>
    <t>ORD0787</t>
  </si>
  <si>
    <t>Customer_0787</t>
  </si>
  <si>
    <t>ORD0788</t>
  </si>
  <si>
    <t>Customer_0788</t>
  </si>
  <si>
    <t>ORD0789</t>
  </si>
  <si>
    <t>Customer_0789</t>
  </si>
  <si>
    <t>ORD0790</t>
  </si>
  <si>
    <t>Customer_0790</t>
  </si>
  <si>
    <t>ORD0791</t>
  </si>
  <si>
    <t>Customer_0791</t>
  </si>
  <si>
    <t>ORD0792</t>
  </si>
  <si>
    <t>Customer_0792</t>
  </si>
  <si>
    <t>ORD0793</t>
  </si>
  <si>
    <t>Customer_0793</t>
  </si>
  <si>
    <t>ORD0794</t>
  </si>
  <si>
    <t>Customer_0794</t>
  </si>
  <si>
    <t>ORD0795</t>
  </si>
  <si>
    <t>Customer_0795</t>
  </si>
  <si>
    <t>ORD0796</t>
  </si>
  <si>
    <t>Customer_0796</t>
  </si>
  <si>
    <t>ORD0797</t>
  </si>
  <si>
    <t>Customer_0797</t>
  </si>
  <si>
    <t>ORD0798</t>
  </si>
  <si>
    <t>Customer_0798</t>
  </si>
  <si>
    <t>ORD0799</t>
  </si>
  <si>
    <t>Customer_0799</t>
  </si>
  <si>
    <t>ORD0800</t>
  </si>
  <si>
    <t>Customer_0800</t>
  </si>
  <si>
    <t>ORD0801</t>
  </si>
  <si>
    <t>Customer_0801</t>
  </si>
  <si>
    <t>ORD0802</t>
  </si>
  <si>
    <t>Customer_0802</t>
  </si>
  <si>
    <t>ORD0803</t>
  </si>
  <si>
    <t>Customer_0803</t>
  </si>
  <si>
    <t>ORD0804</t>
  </si>
  <si>
    <t>Customer_0804</t>
  </si>
  <si>
    <t>ORD0805</t>
  </si>
  <si>
    <t>Customer_0805</t>
  </si>
  <si>
    <t>ORD0806</t>
  </si>
  <si>
    <t>Customer_0806</t>
  </si>
  <si>
    <t>ORD0807</t>
  </si>
  <si>
    <t>Customer_0807</t>
  </si>
  <si>
    <t>ORD0808</t>
  </si>
  <si>
    <t>Customer_0808</t>
  </si>
  <si>
    <t>ORD0809</t>
  </si>
  <si>
    <t>Customer_0809</t>
  </si>
  <si>
    <t>ORD0810</t>
  </si>
  <si>
    <t>Customer_0810</t>
  </si>
  <si>
    <t>ORD0811</t>
  </si>
  <si>
    <t>Customer_0811</t>
  </si>
  <si>
    <t>ORD0812</t>
  </si>
  <si>
    <t>Customer_0812</t>
  </si>
  <si>
    <t>ORD0813</t>
  </si>
  <si>
    <t>Customer_0813</t>
  </si>
  <si>
    <t>ORD0814</t>
  </si>
  <si>
    <t>Customer_0814</t>
  </si>
  <si>
    <t>ORD0815</t>
  </si>
  <si>
    <t>Customer_0815</t>
  </si>
  <si>
    <t>ORD0816</t>
  </si>
  <si>
    <t>Customer_0816</t>
  </si>
  <si>
    <t>ORD0817</t>
  </si>
  <si>
    <t>Customer_0817</t>
  </si>
  <si>
    <t>ORD0818</t>
  </si>
  <si>
    <t>Customer_0818</t>
  </si>
  <si>
    <t>ORD0819</t>
  </si>
  <si>
    <t>Customer_0819</t>
  </si>
  <si>
    <t>ORD0820</t>
  </si>
  <si>
    <t>Customer_0820</t>
  </si>
  <si>
    <t>ORD0821</t>
  </si>
  <si>
    <t>Customer_0821</t>
  </si>
  <si>
    <t>ORD0822</t>
  </si>
  <si>
    <t>Customer_0822</t>
  </si>
  <si>
    <t>ORD0823</t>
  </si>
  <si>
    <t>Customer_0823</t>
  </si>
  <si>
    <t>ORD0824</t>
  </si>
  <si>
    <t>Customer_0824</t>
  </si>
  <si>
    <t>ORD0825</t>
  </si>
  <si>
    <t>Customer_0825</t>
  </si>
  <si>
    <t>ORD0826</t>
  </si>
  <si>
    <t>Customer_0826</t>
  </si>
  <si>
    <t>ORD0827</t>
  </si>
  <si>
    <t>Customer_0827</t>
  </si>
  <si>
    <t>ORD0828</t>
  </si>
  <si>
    <t>Customer_0828</t>
  </si>
  <si>
    <t>ORD0829</t>
  </si>
  <si>
    <t>Customer_0829</t>
  </si>
  <si>
    <t>ORD0830</t>
  </si>
  <si>
    <t>Customer_0830</t>
  </si>
  <si>
    <t>ORD0831</t>
  </si>
  <si>
    <t>Customer_0831</t>
  </si>
  <si>
    <t>ORD0832</t>
  </si>
  <si>
    <t>Customer_0832</t>
  </si>
  <si>
    <t>ORD0833</t>
  </si>
  <si>
    <t>Customer_0833</t>
  </si>
  <si>
    <t>ORD0834</t>
  </si>
  <si>
    <t>Customer_0834</t>
  </si>
  <si>
    <t>ORD0835</t>
  </si>
  <si>
    <t>Customer_0835</t>
  </si>
  <si>
    <t>ORD0836</t>
  </si>
  <si>
    <t>Customer_0836</t>
  </si>
  <si>
    <t>ORD0837</t>
  </si>
  <si>
    <t>Customer_0837</t>
  </si>
  <si>
    <t>ORD0838</t>
  </si>
  <si>
    <t>Customer_0838</t>
  </si>
  <si>
    <t>ORD0839</t>
  </si>
  <si>
    <t>Customer_0839</t>
  </si>
  <si>
    <t>ORD0840</t>
  </si>
  <si>
    <t>Customer_0840</t>
  </si>
  <si>
    <t>ORD0841</t>
  </si>
  <si>
    <t>Customer_0841</t>
  </si>
  <si>
    <t>ORD0842</t>
  </si>
  <si>
    <t>Customer_0842</t>
  </si>
  <si>
    <t>ORD0843</t>
  </si>
  <si>
    <t>Customer_0843</t>
  </si>
  <si>
    <t>ORD0844</t>
  </si>
  <si>
    <t>Customer_0844</t>
  </si>
  <si>
    <t>ORD0845</t>
  </si>
  <si>
    <t>Customer_0845</t>
  </si>
  <si>
    <t>ORD0846</t>
  </si>
  <si>
    <t>Customer_0846</t>
  </si>
  <si>
    <t>ORD0847</t>
  </si>
  <si>
    <t>Customer_0847</t>
  </si>
  <si>
    <t>ORD0848</t>
  </si>
  <si>
    <t>Customer_0848</t>
  </si>
  <si>
    <t>ORD0849</t>
  </si>
  <si>
    <t>Customer_0849</t>
  </si>
  <si>
    <t>ORD0850</t>
  </si>
  <si>
    <t>Customer_0850</t>
  </si>
  <si>
    <t>ORD0851</t>
  </si>
  <si>
    <t>Customer_0851</t>
  </si>
  <si>
    <t>ORD0852</t>
  </si>
  <si>
    <t>Customer_0852</t>
  </si>
  <si>
    <t>ORD0853</t>
  </si>
  <si>
    <t>Customer_0853</t>
  </si>
  <si>
    <t>ORD0854</t>
  </si>
  <si>
    <t>Customer_0854</t>
  </si>
  <si>
    <t>ORD0855</t>
  </si>
  <si>
    <t>Customer_0855</t>
  </si>
  <si>
    <t>ORD0856</t>
  </si>
  <si>
    <t>Customer_0856</t>
  </si>
  <si>
    <t>ORD0857</t>
  </si>
  <si>
    <t>Customer_0857</t>
  </si>
  <si>
    <t>ORD0858</t>
  </si>
  <si>
    <t>Customer_0858</t>
  </si>
  <si>
    <t>ORD0859</t>
  </si>
  <si>
    <t>Customer_0859</t>
  </si>
  <si>
    <t>ORD0860</t>
  </si>
  <si>
    <t>Customer_0860</t>
  </si>
  <si>
    <t>ORD0861</t>
  </si>
  <si>
    <t>Customer_0861</t>
  </si>
  <si>
    <t>ORD0862</t>
  </si>
  <si>
    <t>Customer_0862</t>
  </si>
  <si>
    <t>ORD0863</t>
  </si>
  <si>
    <t>Customer_0863</t>
  </si>
  <si>
    <t>ORD0864</t>
  </si>
  <si>
    <t>Customer_0864</t>
  </si>
  <si>
    <t>ORD0865</t>
  </si>
  <si>
    <t>Customer_0865</t>
  </si>
  <si>
    <t>ORD0866</t>
  </si>
  <si>
    <t>Customer_0866</t>
  </si>
  <si>
    <t>ORD0867</t>
  </si>
  <si>
    <t>Customer_0867</t>
  </si>
  <si>
    <t>ORD0868</t>
  </si>
  <si>
    <t>Customer_0868</t>
  </si>
  <si>
    <t>ORD0869</t>
  </si>
  <si>
    <t>Customer_0869</t>
  </si>
  <si>
    <t>ORD0870</t>
  </si>
  <si>
    <t>Customer_0870</t>
  </si>
  <si>
    <t>ORD0871</t>
  </si>
  <si>
    <t>Customer_0871</t>
  </si>
  <si>
    <t>ORD0872</t>
  </si>
  <si>
    <t>Customer_0872</t>
  </si>
  <si>
    <t>ORD0873</t>
  </si>
  <si>
    <t>Customer_0873</t>
  </si>
  <si>
    <t>ORD0874</t>
  </si>
  <si>
    <t>Customer_0874</t>
  </si>
  <si>
    <t>ORD0875</t>
  </si>
  <si>
    <t>Customer_0875</t>
  </si>
  <si>
    <t>ORD0876</t>
  </si>
  <si>
    <t>Customer_0876</t>
  </si>
  <si>
    <t>ORD0877</t>
  </si>
  <si>
    <t>Customer_0877</t>
  </si>
  <si>
    <t>ORD0878</t>
  </si>
  <si>
    <t>Customer_0878</t>
  </si>
  <si>
    <t>ORD0879</t>
  </si>
  <si>
    <t>Customer_0879</t>
  </si>
  <si>
    <t>ORD0880</t>
  </si>
  <si>
    <t>Customer_0880</t>
  </si>
  <si>
    <t>ORD0881</t>
  </si>
  <si>
    <t>Customer_0881</t>
  </si>
  <si>
    <t>ORD0882</t>
  </si>
  <si>
    <t>Customer_0882</t>
  </si>
  <si>
    <t>ORD0883</t>
  </si>
  <si>
    <t>Customer_0883</t>
  </si>
  <si>
    <t>ORD0884</t>
  </si>
  <si>
    <t>Customer_0884</t>
  </si>
  <si>
    <t>ORD0885</t>
  </si>
  <si>
    <t>Customer_0885</t>
  </si>
  <si>
    <t>ORD0886</t>
  </si>
  <si>
    <t>Customer_0886</t>
  </si>
  <si>
    <t>ORD0887</t>
  </si>
  <si>
    <t>Customer_0887</t>
  </si>
  <si>
    <t>ORD0888</t>
  </si>
  <si>
    <t>Customer_0888</t>
  </si>
  <si>
    <t>ORD0889</t>
  </si>
  <si>
    <t>Customer_0889</t>
  </si>
  <si>
    <t>ORD0890</t>
  </si>
  <si>
    <t>Customer_0890</t>
  </si>
  <si>
    <t>ORD0891</t>
  </si>
  <si>
    <t>Customer_0891</t>
  </si>
  <si>
    <t>ORD0892</t>
  </si>
  <si>
    <t>Customer_0892</t>
  </si>
  <si>
    <t>ORD0893</t>
  </si>
  <si>
    <t>Customer_0893</t>
  </si>
  <si>
    <t>ORD0894</t>
  </si>
  <si>
    <t>Customer_0894</t>
  </si>
  <si>
    <t>ORD0895</t>
  </si>
  <si>
    <t>Customer_0895</t>
  </si>
  <si>
    <t>ORD0896</t>
  </si>
  <si>
    <t>Customer_0896</t>
  </si>
  <si>
    <t>ORD0897</t>
  </si>
  <si>
    <t>Customer_0897</t>
  </si>
  <si>
    <t>ORD0898</t>
  </si>
  <si>
    <t>Customer_0898</t>
  </si>
  <si>
    <t>ORD0899</t>
  </si>
  <si>
    <t>Customer_0899</t>
  </si>
  <si>
    <t>ORD0900</t>
  </si>
  <si>
    <t>Customer_0900</t>
  </si>
  <si>
    <t>ORD0901</t>
  </si>
  <si>
    <t>Customer_0901</t>
  </si>
  <si>
    <t>ORD0902</t>
  </si>
  <si>
    <t>Customer_0902</t>
  </si>
  <si>
    <t>ORD0903</t>
  </si>
  <si>
    <t>Customer_0903</t>
  </si>
  <si>
    <t>ORD0904</t>
  </si>
  <si>
    <t>Customer_0904</t>
  </si>
  <si>
    <t>ORD0905</t>
  </si>
  <si>
    <t>Customer_0905</t>
  </si>
  <si>
    <t>ORD0906</t>
  </si>
  <si>
    <t>Customer_0906</t>
  </si>
  <si>
    <t>ORD0907</t>
  </si>
  <si>
    <t>Customer_0907</t>
  </si>
  <si>
    <t>ORD0908</t>
  </si>
  <si>
    <t>Customer_0908</t>
  </si>
  <si>
    <t>ORD0909</t>
  </si>
  <si>
    <t>Customer_0909</t>
  </si>
  <si>
    <t>ORD0910</t>
  </si>
  <si>
    <t>Customer_0910</t>
  </si>
  <si>
    <t>ORD0911</t>
  </si>
  <si>
    <t>Customer_0911</t>
  </si>
  <si>
    <t>ORD0912</t>
  </si>
  <si>
    <t>Customer_0912</t>
  </si>
  <si>
    <t>ORD0913</t>
  </si>
  <si>
    <t>Customer_0913</t>
  </si>
  <si>
    <t>ORD0914</t>
  </si>
  <si>
    <t>Customer_0914</t>
  </si>
  <si>
    <t>ORD0915</t>
  </si>
  <si>
    <t>Customer_0915</t>
  </si>
  <si>
    <t>ORD0916</t>
  </si>
  <si>
    <t>Customer_0916</t>
  </si>
  <si>
    <t>ORD0917</t>
  </si>
  <si>
    <t>Customer_0917</t>
  </si>
  <si>
    <t>ORD0918</t>
  </si>
  <si>
    <t>Customer_0918</t>
  </si>
  <si>
    <t>ORD0919</t>
  </si>
  <si>
    <t>Customer_0919</t>
  </si>
  <si>
    <t>ORD0920</t>
  </si>
  <si>
    <t>Customer_0920</t>
  </si>
  <si>
    <t>ORD0921</t>
  </si>
  <si>
    <t>Customer_0921</t>
  </si>
  <si>
    <t>ORD0922</t>
  </si>
  <si>
    <t>Customer_0922</t>
  </si>
  <si>
    <t>ORD0923</t>
  </si>
  <si>
    <t>Customer_0923</t>
  </si>
  <si>
    <t>ORD0924</t>
  </si>
  <si>
    <t>Customer_0924</t>
  </si>
  <si>
    <t>ORD0925</t>
  </si>
  <si>
    <t>Customer_0925</t>
  </si>
  <si>
    <t>ORD0926</t>
  </si>
  <si>
    <t>Customer_0926</t>
  </si>
  <si>
    <t>ORD0927</t>
  </si>
  <si>
    <t>Customer_0927</t>
  </si>
  <si>
    <t>ORD0928</t>
  </si>
  <si>
    <t>Customer_0928</t>
  </si>
  <si>
    <t>ORD0929</t>
  </si>
  <si>
    <t>Customer_0929</t>
  </si>
  <si>
    <t>ORD0930</t>
  </si>
  <si>
    <t>Customer_0930</t>
  </si>
  <si>
    <t>ORD0931</t>
  </si>
  <si>
    <t>Customer_0931</t>
  </si>
  <si>
    <t>ORD0932</t>
  </si>
  <si>
    <t>Customer_0932</t>
  </si>
  <si>
    <t>ORD0933</t>
  </si>
  <si>
    <t>Customer_0933</t>
  </si>
  <si>
    <t>ORD0934</t>
  </si>
  <si>
    <t>Customer_0934</t>
  </si>
  <si>
    <t>ORD0935</t>
  </si>
  <si>
    <t>Customer_0935</t>
  </si>
  <si>
    <t>ORD0936</t>
  </si>
  <si>
    <t>Customer_0936</t>
  </si>
  <si>
    <t>ORD0937</t>
  </si>
  <si>
    <t>Customer_0937</t>
  </si>
  <si>
    <t>ORD0938</t>
  </si>
  <si>
    <t>Customer_0938</t>
  </si>
  <si>
    <t>ORD0939</t>
  </si>
  <si>
    <t>Customer_0939</t>
  </si>
  <si>
    <t>ORD0940</t>
  </si>
  <si>
    <t>Customer_0940</t>
  </si>
  <si>
    <t>ORD0941</t>
  </si>
  <si>
    <t>Customer_0941</t>
  </si>
  <si>
    <t>ORD0942</t>
  </si>
  <si>
    <t>Customer_0942</t>
  </si>
  <si>
    <t>ORD0943</t>
  </si>
  <si>
    <t>Customer_0943</t>
  </si>
  <si>
    <t>ORD0944</t>
  </si>
  <si>
    <t>Customer_0944</t>
  </si>
  <si>
    <t>ORD0945</t>
  </si>
  <si>
    <t>Customer_0945</t>
  </si>
  <si>
    <t>ORD0946</t>
  </si>
  <si>
    <t>Customer_0946</t>
  </si>
  <si>
    <t>ORD0947</t>
  </si>
  <si>
    <t>Customer_0947</t>
  </si>
  <si>
    <t>ORD0948</t>
  </si>
  <si>
    <t>Customer_0948</t>
  </si>
  <si>
    <t>ORD0949</t>
  </si>
  <si>
    <t>Customer_0949</t>
  </si>
  <si>
    <t>ORD0950</t>
  </si>
  <si>
    <t>Customer_0950</t>
  </si>
  <si>
    <t>ORD0951</t>
  </si>
  <si>
    <t>Customer_0951</t>
  </si>
  <si>
    <t>ORD0952</t>
  </si>
  <si>
    <t>Customer_0952</t>
  </si>
  <si>
    <t>ORD0953</t>
  </si>
  <si>
    <t>Customer_0953</t>
  </si>
  <si>
    <t>ORD0954</t>
  </si>
  <si>
    <t>Customer_0954</t>
  </si>
  <si>
    <t>ORD0955</t>
  </si>
  <si>
    <t>Customer_0955</t>
  </si>
  <si>
    <t>ORD0956</t>
  </si>
  <si>
    <t>Customer_0956</t>
  </si>
  <si>
    <t>ORD0957</t>
  </si>
  <si>
    <t>Customer_0957</t>
  </si>
  <si>
    <t>ORD0958</t>
  </si>
  <si>
    <t>Customer_0958</t>
  </si>
  <si>
    <t>ORD0959</t>
  </si>
  <si>
    <t>Customer_0959</t>
  </si>
  <si>
    <t>ORD0960</t>
  </si>
  <si>
    <t>Customer_0960</t>
  </si>
  <si>
    <t>ORD0961</t>
  </si>
  <si>
    <t>Customer_0961</t>
  </si>
  <si>
    <t>ORD0962</t>
  </si>
  <si>
    <t>Customer_0962</t>
  </si>
  <si>
    <t>ORD0963</t>
  </si>
  <si>
    <t>Customer_0963</t>
  </si>
  <si>
    <t>ORD0964</t>
  </si>
  <si>
    <t>Customer_0964</t>
  </si>
  <si>
    <t>ORD0965</t>
  </si>
  <si>
    <t>Customer_0965</t>
  </si>
  <si>
    <t>ORD0966</t>
  </si>
  <si>
    <t>Customer_0966</t>
  </si>
  <si>
    <t>ORD0967</t>
  </si>
  <si>
    <t>Customer_0967</t>
  </si>
  <si>
    <t>ORD0968</t>
  </si>
  <si>
    <t>Customer_0968</t>
  </si>
  <si>
    <t>ORD0969</t>
  </si>
  <si>
    <t>Customer_0969</t>
  </si>
  <si>
    <t>ORD0970</t>
  </si>
  <si>
    <t>Customer_0970</t>
  </si>
  <si>
    <t>ORD0971</t>
  </si>
  <si>
    <t>Customer_0971</t>
  </si>
  <si>
    <t>ORD0972</t>
  </si>
  <si>
    <t>Customer_0972</t>
  </si>
  <si>
    <t>ORD0973</t>
  </si>
  <si>
    <t>Customer_0973</t>
  </si>
  <si>
    <t>ORD0974</t>
  </si>
  <si>
    <t>Customer_0974</t>
  </si>
  <si>
    <t>ORD0975</t>
  </si>
  <si>
    <t>Customer_0975</t>
  </si>
  <si>
    <t>ORD0976</t>
  </si>
  <si>
    <t>Customer_0976</t>
  </si>
  <si>
    <t>ORD0977</t>
  </si>
  <si>
    <t>Customer_0977</t>
  </si>
  <si>
    <t>ORD0978</t>
  </si>
  <si>
    <t>Customer_0978</t>
  </si>
  <si>
    <t>ORD0979</t>
  </si>
  <si>
    <t>Customer_0979</t>
  </si>
  <si>
    <t>ORD0980</t>
  </si>
  <si>
    <t>Customer_0980</t>
  </si>
  <si>
    <t>ORD0981</t>
  </si>
  <si>
    <t>Customer_0981</t>
  </si>
  <si>
    <t>ORD0982</t>
  </si>
  <si>
    <t>Customer_0982</t>
  </si>
  <si>
    <t>ORD0983</t>
  </si>
  <si>
    <t>Customer_0983</t>
  </si>
  <si>
    <t>ORD0984</t>
  </si>
  <si>
    <t>Customer_0984</t>
  </si>
  <si>
    <t>ORD0985</t>
  </si>
  <si>
    <t>Customer_0985</t>
  </si>
  <si>
    <t>ORD0986</t>
  </si>
  <si>
    <t>Customer_0986</t>
  </si>
  <si>
    <t>ORD0987</t>
  </si>
  <si>
    <t>Customer_0987</t>
  </si>
  <si>
    <t>ORD0988</t>
  </si>
  <si>
    <t>Customer_0988</t>
  </si>
  <si>
    <t>ORD0989</t>
  </si>
  <si>
    <t>Customer_0989</t>
  </si>
  <si>
    <t>ORD0990</t>
  </si>
  <si>
    <t>Customer_0990</t>
  </si>
  <si>
    <t>ORD0991</t>
  </si>
  <si>
    <t>Customer_0991</t>
  </si>
  <si>
    <t>ORD0992</t>
  </si>
  <si>
    <t>Customer_0992</t>
  </si>
  <si>
    <t>ORD0993</t>
  </si>
  <si>
    <t>Customer_0993</t>
  </si>
  <si>
    <t>ORD0994</t>
  </si>
  <si>
    <t>Customer_0994</t>
  </si>
  <si>
    <t>ORD0995</t>
  </si>
  <si>
    <t>Customer_0995</t>
  </si>
  <si>
    <t>ORD0996</t>
  </si>
  <si>
    <t>Customer_0996</t>
  </si>
  <si>
    <t>ORD0997</t>
  </si>
  <si>
    <t>Customer_0997</t>
  </si>
  <si>
    <t>ORD0998</t>
  </si>
  <si>
    <t>Customer_0998</t>
  </si>
  <si>
    <t>ORD0999</t>
  </si>
  <si>
    <t>Customer_0999</t>
  </si>
  <si>
    <t>ORD1000</t>
  </si>
  <si>
    <t>Customer_1000</t>
  </si>
  <si>
    <t>Order ID2</t>
  </si>
  <si>
    <t>Order ID3</t>
  </si>
  <si>
    <t>KPI</t>
  </si>
  <si>
    <t>FORMULA</t>
  </si>
  <si>
    <t xml:space="preserve"> Total sales</t>
  </si>
  <si>
    <t xml:space="preserve"> Total  profitt</t>
  </si>
  <si>
    <t xml:space="preserve"> Total Orders</t>
  </si>
  <si>
    <t>Total Quantity</t>
  </si>
  <si>
    <t>Average Sales</t>
  </si>
  <si>
    <t>Total cost</t>
  </si>
  <si>
    <t>Total unit price</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</si>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</sst>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00_ ;_ [$₹-4009]\ * \-#,##0.00_ ;_ [$₹-4009]\ * &quot;-&quot;??_ ;_ @_ "/>
    <numFmt numFmtId="165" formatCode="&quot;₹&quot;\ #,##0.00"/>
  </numFmts>
  <fonts count="6" x14ac:knownFonts="1">
    <font>
      <sz val="11"/>
      <color theme="1"/>
      <name val="Calibri"/>
      <family val="2"/>
      <scheme val="minor"/>
    </font>
    <font>
      <b/>
      <sz val="11"/>
      <color theme="1"/>
      <name val="Calibri"/>
      <family val="2"/>
      <scheme val="minor"/>
    </font>
    <font>
      <sz val="8"/>
      <name val="Calibri"/>
      <family val="2"/>
      <scheme val="minor"/>
    </font>
    <font>
      <b/>
      <sz val="18"/>
      <color theme="1"/>
      <name val="Calibri"/>
      <family val="2"/>
      <scheme val="minor"/>
    </font>
    <font>
      <sz val="11"/>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44" fontId="4" fillId="0" borderId="0" applyFont="0" applyFill="0" applyBorder="0" applyAlignment="0" applyProtection="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0" fontId="3" fillId="0" borderId="0" xfId="0" applyFont="1"/>
    <xf numFmtId="164" fontId="0" fillId="0" borderId="0" xfId="1" applyNumberFormat="1" applyFont="1"/>
    <xf numFmtId="164" fontId="0" fillId="0" borderId="0" xfId="0" applyNumberFormat="1"/>
    <xf numFmtId="165" fontId="5" fillId="0" borderId="1" xfId="0" applyNumberFormat="1" applyFont="1" applyBorder="1"/>
  </cellXfs>
  <cellStyles count="2">
    <cellStyle name="Currency" xfId="1" builtinId="4"/>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355"/>
        <c:overlap val="-70"/>
        <c:axId val="66497455"/>
        <c:axId val="1864675760"/>
      </c:barChart>
      <c:catAx>
        <c:axId val="664974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675760"/>
        <c:crosses val="autoZero"/>
        <c:auto val="1"/>
        <c:lblAlgn val="ctr"/>
        <c:lblOffset val="100"/>
        <c:noMultiLvlLbl val="0"/>
      </c:catAx>
      <c:valAx>
        <c:axId val="186467576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9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1"/>
              <c:pt idx="0">
                <c:v>03-02-2026</c:v>
              </c:pt>
            </c:strLit>
          </c:cat>
          <c:val>
            <c:numLit>
              <c:formatCode>General</c:formatCode>
              <c:ptCount val="1"/>
              <c:pt idx="0">
                <c:v>544800</c:v>
              </c:pt>
            </c:numLit>
          </c:val>
          <c:extLst>
            <c:ext xmlns:c16="http://schemas.microsoft.com/office/drawing/2014/chart" uri="{C3380CC4-5D6E-409C-BE32-E72D297353CC}">
              <c16:uniqueId val="{00000000-FF43-46BA-AC25-EC3832F573E5}"/>
            </c:ext>
          </c:extLst>
        </c:ser>
        <c:dLbls>
          <c:showLegendKey val="0"/>
          <c:showVal val="0"/>
          <c:showCatName val="0"/>
          <c:showSerName val="0"/>
          <c:showPercent val="0"/>
          <c:showBubbleSize val="0"/>
        </c:dLbls>
        <c:gapWidth val="219"/>
        <c:overlap val="-27"/>
        <c:axId val="240905728"/>
        <c:axId val="284585264"/>
      </c:barChart>
      <c:catAx>
        <c:axId val="24090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585264"/>
        <c:crosses val="autoZero"/>
        <c:auto val="1"/>
        <c:lblAlgn val="ctr"/>
        <c:lblOffset val="100"/>
        <c:noMultiLvlLbl val="0"/>
      </c:catAx>
      <c:valAx>
        <c:axId val="28458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90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_dashboard.xlsx]PT_REGION!PivotTable1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SALES</a:t>
            </a:r>
            <a:r>
              <a:rPr lang="en-IN" sz="2000" b="1" baseline="0">
                <a:solidFill>
                  <a:schemeClr val="tx1"/>
                </a:solidFill>
              </a:rPr>
              <a:t> BY REGION</a:t>
            </a:r>
          </a:p>
        </c:rich>
      </c:tx>
      <c:layout>
        <c:manualLayout>
          <c:xMode val="edge"/>
          <c:yMode val="edge"/>
          <c:x val="0.40992317075282669"/>
          <c:y val="0.116865582630872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8879283415276"/>
          <c:y val="0.53107288963181276"/>
          <c:w val="0.74062622212573659"/>
          <c:h val="0.3871346788847424"/>
        </c:manualLayout>
      </c:layout>
      <c:barChart>
        <c:barDir val="col"/>
        <c:grouping val="clustered"/>
        <c:varyColors val="0"/>
        <c:ser>
          <c:idx val="0"/>
          <c:order val="0"/>
          <c:tx>
            <c:strRef>
              <c:f>PT_REGION!$B$3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PT_REGION!$A$4:$A$5</c:f>
              <c:strCache>
                <c:ptCount val="1"/>
                <c:pt idx="0">
                  <c:v>East</c:v>
                </c:pt>
              </c:strCache>
            </c:strRef>
          </c:cat>
          <c:val>
            <c:numRef>
              <c:f>PT_REGION!$B$4:$B$5</c:f>
              <c:numCache>
                <c:formatCode>General</c:formatCode>
                <c:ptCount val="1"/>
                <c:pt idx="0">
                  <c:v>15146100</c:v>
                </c:pt>
              </c:numCache>
            </c:numRef>
          </c:val>
          <c:extLst>
            <c:ext xmlns:c16="http://schemas.microsoft.com/office/drawing/2014/chart" uri="{C3380CC4-5D6E-409C-BE32-E72D297353CC}">
              <c16:uniqueId val="{00000000-07FC-432F-A890-43758D5B70B1}"/>
            </c:ext>
          </c:extLst>
        </c:ser>
        <c:dLbls>
          <c:dLblPos val="outEnd"/>
          <c:showLegendKey val="0"/>
          <c:showVal val="1"/>
          <c:showCatName val="0"/>
          <c:showSerName val="0"/>
          <c:showPercent val="0"/>
          <c:showBubbleSize val="0"/>
        </c:dLbls>
        <c:gapWidth val="219"/>
        <c:overlap val="-27"/>
        <c:axId val="229141711"/>
        <c:axId val="1981473232"/>
      </c:barChart>
      <c:catAx>
        <c:axId val="22914171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73232"/>
        <c:crosses val="autoZero"/>
        <c:auto val="1"/>
        <c:lblAlgn val="ctr"/>
        <c:lblOffset val="100"/>
        <c:noMultiLvlLbl val="0"/>
      </c:catAx>
      <c:valAx>
        <c:axId val="198147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14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_dashboard.xlsx]PT _CATEGORY!PivotTable2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layout>
        <c:manualLayout>
          <c:xMode val="edge"/>
          <c:yMode val="edge"/>
          <c:x val="0.28602900881557314"/>
          <c:y val="9.62016593641669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'PT 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F2-4A6B-9731-DE5A030037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F2-4A6B-9731-DE5A030037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F2-4A6B-9731-DE5A030037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F2-4A6B-9731-DE5A030037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 _CATEGORY'!$A$4:$A$8</c:f>
              <c:strCache>
                <c:ptCount val="4"/>
                <c:pt idx="0">
                  <c:v>Accessories</c:v>
                </c:pt>
                <c:pt idx="1">
                  <c:v>Electronics</c:v>
                </c:pt>
                <c:pt idx="2">
                  <c:v>Networking</c:v>
                </c:pt>
                <c:pt idx="3">
                  <c:v>Storage</c:v>
                </c:pt>
              </c:strCache>
            </c:strRef>
          </c:cat>
          <c:val>
            <c:numRef>
              <c:f>'PT _CATEGORY'!$B$4:$B$8</c:f>
              <c:numCache>
                <c:formatCode>General</c:formatCode>
                <c:ptCount val="4"/>
                <c:pt idx="0">
                  <c:v>3547100</c:v>
                </c:pt>
                <c:pt idx="1">
                  <c:v>55768000</c:v>
                </c:pt>
                <c:pt idx="2">
                  <c:v>1414600</c:v>
                </c:pt>
                <c:pt idx="3">
                  <c:v>4316000</c:v>
                </c:pt>
              </c:numCache>
            </c:numRef>
          </c:val>
          <c:extLst>
            <c:ext xmlns:c16="http://schemas.microsoft.com/office/drawing/2014/chart" uri="{C3380CC4-5D6E-409C-BE32-E72D297353CC}">
              <c16:uniqueId val="{00000008-72F2-4A6B-9731-DE5A030037D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4800827475630092"/>
          <c:y val="0.41543453517330942"/>
          <c:w val="0.15199172524369889"/>
          <c:h val="0.411435817922309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_dashboard.xlsx]PT_DAY-WISE!PivotTable1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tx1"/>
                </a:solidFill>
              </a:rPr>
              <a:t>DAY-WISE SALES</a:t>
            </a:r>
          </a:p>
        </c:rich>
      </c:tx>
      <c:layout>
        <c:manualLayout>
          <c:xMode val="edge"/>
          <c:yMode val="edge"/>
          <c:x val="0.37741582652092803"/>
          <c:y val="8.81889616426472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'PT_DAY-WISE'!$B$3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'PT_DAY-WISE'!$A$4:$A$23</c:f>
              <c:strCache>
                <c:ptCount val="19"/>
                <c:pt idx="0">
                  <c:v>04-02-2026</c:v>
                </c:pt>
                <c:pt idx="1">
                  <c:v>05-04-2026</c:v>
                </c:pt>
                <c:pt idx="2">
                  <c:v>05-05-2026</c:v>
                </c:pt>
                <c:pt idx="3">
                  <c:v>07-05-2026</c:v>
                </c:pt>
                <c:pt idx="4">
                  <c:v>08-03-2026</c:v>
                </c:pt>
                <c:pt idx="5">
                  <c:v>08-07-2026</c:v>
                </c:pt>
                <c:pt idx="6">
                  <c:v>09-08-2026</c:v>
                </c:pt>
                <c:pt idx="7">
                  <c:v>12-03-2026</c:v>
                </c:pt>
                <c:pt idx="8">
                  <c:v>15-08-2026</c:v>
                </c:pt>
                <c:pt idx="9">
                  <c:v>16-01-2026</c:v>
                </c:pt>
                <c:pt idx="10">
                  <c:v>18-08-2026</c:v>
                </c:pt>
                <c:pt idx="11">
                  <c:v>20-11-2026</c:v>
                </c:pt>
                <c:pt idx="12">
                  <c:v>21-03-2026</c:v>
                </c:pt>
                <c:pt idx="13">
                  <c:v>23-07-2026</c:v>
                </c:pt>
                <c:pt idx="14">
                  <c:v>24-10-2026</c:v>
                </c:pt>
                <c:pt idx="15">
                  <c:v>25-04-2026</c:v>
                </c:pt>
                <c:pt idx="16">
                  <c:v>25-07-2026</c:v>
                </c:pt>
                <c:pt idx="17">
                  <c:v>27-06-2026</c:v>
                </c:pt>
                <c:pt idx="18">
                  <c:v>31-05-2026</c:v>
                </c:pt>
              </c:strCache>
            </c:strRef>
          </c:cat>
          <c:val>
            <c:numRef>
              <c:f>'PT_DAY-WISE'!$B$4:$B$23</c:f>
              <c:numCache>
                <c:formatCode>General</c:formatCode>
                <c:ptCount val="19"/>
                <c:pt idx="0">
                  <c:v>7500</c:v>
                </c:pt>
                <c:pt idx="1">
                  <c:v>9000</c:v>
                </c:pt>
                <c:pt idx="2">
                  <c:v>3200</c:v>
                </c:pt>
                <c:pt idx="3">
                  <c:v>4000</c:v>
                </c:pt>
                <c:pt idx="4">
                  <c:v>24000</c:v>
                </c:pt>
                <c:pt idx="5">
                  <c:v>15000</c:v>
                </c:pt>
                <c:pt idx="6">
                  <c:v>12000</c:v>
                </c:pt>
                <c:pt idx="7">
                  <c:v>6000</c:v>
                </c:pt>
                <c:pt idx="8">
                  <c:v>6000</c:v>
                </c:pt>
                <c:pt idx="9">
                  <c:v>1600</c:v>
                </c:pt>
                <c:pt idx="10">
                  <c:v>9000</c:v>
                </c:pt>
                <c:pt idx="11">
                  <c:v>18000</c:v>
                </c:pt>
                <c:pt idx="12">
                  <c:v>800</c:v>
                </c:pt>
                <c:pt idx="13">
                  <c:v>18000</c:v>
                </c:pt>
                <c:pt idx="14">
                  <c:v>800</c:v>
                </c:pt>
                <c:pt idx="15">
                  <c:v>22500</c:v>
                </c:pt>
                <c:pt idx="16">
                  <c:v>9000</c:v>
                </c:pt>
                <c:pt idx="17">
                  <c:v>6400</c:v>
                </c:pt>
                <c:pt idx="18">
                  <c:v>7200</c:v>
                </c:pt>
              </c:numCache>
            </c:numRef>
          </c:val>
          <c:smooth val="0"/>
          <c:extLst>
            <c:ext xmlns:c16="http://schemas.microsoft.com/office/drawing/2014/chart" uri="{C3380CC4-5D6E-409C-BE32-E72D297353CC}">
              <c16:uniqueId val="{00000000-EEE9-4534-80F5-52C46E70D603}"/>
            </c:ext>
          </c:extLst>
        </c:ser>
        <c:dLbls>
          <c:dLblPos val="t"/>
          <c:showLegendKey val="0"/>
          <c:showVal val="1"/>
          <c:showCatName val="0"/>
          <c:showSerName val="0"/>
          <c:showPercent val="0"/>
          <c:showBubbleSize val="0"/>
        </c:dLbls>
        <c:smooth val="0"/>
        <c:axId val="131597792"/>
        <c:axId val="148138864"/>
      </c:lineChart>
      <c:catAx>
        <c:axId val="13159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38864"/>
        <c:crosses val="autoZero"/>
        <c:auto val="1"/>
        <c:lblAlgn val="ctr"/>
        <c:lblOffset val="100"/>
        <c:noMultiLvlLbl val="0"/>
      </c:catAx>
      <c:valAx>
        <c:axId val="14813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9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_dashboard.xlsx]PT_PRODUCT!PivotTable1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PRODUCT</a:t>
            </a:r>
            <a:r>
              <a:rPr lang="en-IN" b="1" baseline="0">
                <a:solidFill>
                  <a:schemeClr val="tx1"/>
                </a:solidFill>
              </a:rPr>
              <a:t> BY SALES</a:t>
            </a:r>
          </a:p>
        </c:rich>
      </c:tx>
      <c:layout>
        <c:manualLayout>
          <c:xMode val="edge"/>
          <c:yMode val="edge"/>
          <c:x val="0.34728440775898306"/>
          <c:y val="7.89735694429151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PT_PRODUCT!$A$4:$A$12</c:f>
              <c:strCache>
                <c:ptCount val="8"/>
                <c:pt idx="0">
                  <c:v>Laptop</c:v>
                </c:pt>
                <c:pt idx="1">
                  <c:v>Printer</c:v>
                </c:pt>
                <c:pt idx="2">
                  <c:v>Monitor</c:v>
                </c:pt>
                <c:pt idx="3">
                  <c:v>SSD</c:v>
                </c:pt>
                <c:pt idx="4">
                  <c:v>Webcam</c:v>
                </c:pt>
                <c:pt idx="5">
                  <c:v>Router</c:v>
                </c:pt>
                <c:pt idx="6">
                  <c:v>Keyboard</c:v>
                </c:pt>
                <c:pt idx="7">
                  <c:v>Mouse</c:v>
                </c:pt>
              </c:strCache>
            </c:strRef>
          </c:cat>
          <c:val>
            <c:numRef>
              <c:f>PT_PRODUCT!$B$4:$B$12</c:f>
              <c:numCache>
                <c:formatCode>General</c:formatCode>
                <c:ptCount val="8"/>
                <c:pt idx="0">
                  <c:v>35050000</c:v>
                </c:pt>
                <c:pt idx="1">
                  <c:v>12150000</c:v>
                </c:pt>
                <c:pt idx="2">
                  <c:v>8568000</c:v>
                </c:pt>
                <c:pt idx="3">
                  <c:v>4316000</c:v>
                </c:pt>
                <c:pt idx="4">
                  <c:v>1980000</c:v>
                </c:pt>
                <c:pt idx="5">
                  <c:v>1414600</c:v>
                </c:pt>
                <c:pt idx="6">
                  <c:v>1045500</c:v>
                </c:pt>
                <c:pt idx="7">
                  <c:v>521600</c:v>
                </c:pt>
              </c:numCache>
            </c:numRef>
          </c:val>
          <c:extLst>
            <c:ext xmlns:c16="http://schemas.microsoft.com/office/drawing/2014/chart" uri="{C3380CC4-5D6E-409C-BE32-E72D297353CC}">
              <c16:uniqueId val="{00000000-48FB-4A3B-BCC8-14B84C5F7F55}"/>
            </c:ext>
          </c:extLst>
        </c:ser>
        <c:dLbls>
          <c:dLblPos val="outEnd"/>
          <c:showLegendKey val="0"/>
          <c:showVal val="1"/>
          <c:showCatName val="0"/>
          <c:showSerName val="0"/>
          <c:showPercent val="0"/>
          <c:showBubbleSize val="0"/>
        </c:dLbls>
        <c:gapWidth val="182"/>
        <c:axId val="131441424"/>
        <c:axId val="148226704"/>
      </c:barChart>
      <c:catAx>
        <c:axId val="13144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6704"/>
        <c:crosses val="autoZero"/>
        <c:auto val="1"/>
        <c:lblAlgn val="ctr"/>
        <c:lblOffset val="100"/>
        <c:noMultiLvlLbl val="0"/>
      </c:catAx>
      <c:valAx>
        <c:axId val="148226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4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_dashboard.xlsx]PT_PROFIT!PivotTable2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PROFIT</a:t>
            </a:r>
            <a:r>
              <a:rPr lang="en-IN" sz="1600" b="1" baseline="0">
                <a:solidFill>
                  <a:schemeClr val="tx1"/>
                </a:solidFill>
              </a:rPr>
              <a:t> BY CATEGORY</a:t>
            </a:r>
            <a:endParaRPr lang="en-IN" sz="1600" b="1">
              <a:solidFill>
                <a:schemeClr val="tx1"/>
              </a:solidFill>
            </a:endParaRPr>
          </a:p>
        </c:rich>
      </c:tx>
      <c:layout>
        <c:manualLayout>
          <c:xMode val="edge"/>
          <c:yMode val="edge"/>
          <c:x val="0.36808607456287534"/>
          <c:y val="8.28521434820647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PT_PROFIT!$A$4:$A$8</c:f>
              <c:strCache>
                <c:ptCount val="4"/>
                <c:pt idx="0">
                  <c:v>Networking</c:v>
                </c:pt>
                <c:pt idx="1">
                  <c:v>Accessories</c:v>
                </c:pt>
                <c:pt idx="2">
                  <c:v>Storage</c:v>
                </c:pt>
                <c:pt idx="3">
                  <c:v>Electronics</c:v>
                </c:pt>
              </c:strCache>
            </c:strRef>
          </c:cat>
          <c:val>
            <c:numRef>
              <c:f>PT_PROFIT!$B$4:$B$8</c:f>
              <c:numCache>
                <c:formatCode>General</c:formatCode>
                <c:ptCount val="4"/>
                <c:pt idx="0">
                  <c:v>254637</c:v>
                </c:pt>
                <c:pt idx="1">
                  <c:v>638512</c:v>
                </c:pt>
                <c:pt idx="2">
                  <c:v>776900</c:v>
                </c:pt>
                <c:pt idx="3">
                  <c:v>10038299</c:v>
                </c:pt>
              </c:numCache>
            </c:numRef>
          </c:val>
          <c:extLst>
            <c:ext xmlns:c16="http://schemas.microsoft.com/office/drawing/2014/chart" uri="{C3380CC4-5D6E-409C-BE32-E72D297353CC}">
              <c16:uniqueId val="{00000000-E42D-42C3-A88A-FA7D71E1D1AE}"/>
            </c:ext>
          </c:extLst>
        </c:ser>
        <c:dLbls>
          <c:dLblPos val="outEnd"/>
          <c:showLegendKey val="0"/>
          <c:showVal val="1"/>
          <c:showCatName val="0"/>
          <c:showSerName val="0"/>
          <c:showPercent val="0"/>
          <c:showBubbleSize val="0"/>
        </c:dLbls>
        <c:gapWidth val="219"/>
        <c:overlap val="-27"/>
        <c:axId val="1879689887"/>
        <c:axId val="2015207055"/>
      </c:barChart>
      <c:catAx>
        <c:axId val="187968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207055"/>
        <c:crosses val="autoZero"/>
        <c:auto val="1"/>
        <c:lblAlgn val="ctr"/>
        <c:lblOffset val="100"/>
        <c:noMultiLvlLbl val="0"/>
      </c:catAx>
      <c:valAx>
        <c:axId val="201520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8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_dashboard.xlsx]PT_SALESPERSON!PivotTable3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a:t>
            </a:r>
            <a:r>
              <a:rPr lang="en-US" sz="1600" b="1" baseline="0">
                <a:solidFill>
                  <a:schemeClr val="tx1"/>
                </a:solidFill>
              </a:rPr>
              <a:t>PERSON PERFORMANCE</a:t>
            </a:r>
            <a:endParaRPr lang="en-US" sz="1600" b="1">
              <a:solidFill>
                <a:schemeClr val="tx1"/>
              </a:solidFill>
            </a:endParaRPr>
          </a:p>
        </c:rich>
      </c:tx>
      <c:layout>
        <c:manualLayout>
          <c:xMode val="edge"/>
          <c:yMode val="edge"/>
          <c:x val="0.3005317431555366"/>
          <c:y val="0.104282510140777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PT_SALESPERSON!$B$3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PT_SALESPERSON!$A$4:$A$9</c:f>
              <c:strCache>
                <c:ptCount val="5"/>
                <c:pt idx="0">
                  <c:v>Ravi</c:v>
                </c:pt>
                <c:pt idx="1">
                  <c:v>Suresh</c:v>
                </c:pt>
                <c:pt idx="2">
                  <c:v>Priya</c:v>
                </c:pt>
                <c:pt idx="3">
                  <c:v>Kiran</c:v>
                </c:pt>
                <c:pt idx="4">
                  <c:v>Anita</c:v>
                </c:pt>
              </c:strCache>
            </c:strRef>
          </c:cat>
          <c:val>
            <c:numRef>
              <c:f>PT_SALESPERSON!$B$4:$B$9</c:f>
              <c:numCache>
                <c:formatCode>General</c:formatCode>
                <c:ptCount val="5"/>
                <c:pt idx="0">
                  <c:v>14459700</c:v>
                </c:pt>
                <c:pt idx="1">
                  <c:v>14329400</c:v>
                </c:pt>
                <c:pt idx="2">
                  <c:v>13665000</c:v>
                </c:pt>
                <c:pt idx="3">
                  <c:v>12211200</c:v>
                </c:pt>
                <c:pt idx="4">
                  <c:v>10380400</c:v>
                </c:pt>
              </c:numCache>
            </c:numRef>
          </c:val>
          <c:extLst>
            <c:ext xmlns:c16="http://schemas.microsoft.com/office/drawing/2014/chart" uri="{C3380CC4-5D6E-409C-BE32-E72D297353CC}">
              <c16:uniqueId val="{00000000-A068-4984-BDD8-E8C9D5389519}"/>
            </c:ext>
          </c:extLst>
        </c:ser>
        <c:dLbls>
          <c:dLblPos val="outEnd"/>
          <c:showLegendKey val="0"/>
          <c:showVal val="1"/>
          <c:showCatName val="0"/>
          <c:showSerName val="0"/>
          <c:showPercent val="0"/>
          <c:showBubbleSize val="0"/>
        </c:dLbls>
        <c:gapWidth val="182"/>
        <c:axId val="131506384"/>
        <c:axId val="148384624"/>
      </c:barChart>
      <c:catAx>
        <c:axId val="13150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84624"/>
        <c:crosses val="autoZero"/>
        <c:auto val="1"/>
        <c:lblAlgn val="ctr"/>
        <c:lblOffset val="100"/>
        <c:noMultiLvlLbl val="0"/>
      </c:catAx>
      <c:valAx>
        <c:axId val="148384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0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91440</xdr:colOff>
      <xdr:row>5</xdr:row>
      <xdr:rowOff>41910</xdr:rowOff>
    </xdr:from>
    <xdr:to>
      <xdr:col>14</xdr:col>
      <xdr:colOff>396240</xdr:colOff>
      <xdr:row>20</xdr:row>
      <xdr:rowOff>41910</xdr:rowOff>
    </xdr:to>
    <xdr:graphicFrame macro="">
      <xdr:nvGraphicFramePr>
        <xdr:cNvPr id="3" name="Chart 2">
          <a:extLst>
            <a:ext uri="{FF2B5EF4-FFF2-40B4-BE49-F238E27FC236}">
              <a16:creationId xmlns:a16="http://schemas.microsoft.com/office/drawing/2014/main" id="{E2CCC02C-8E62-8C87-01C8-EADCB6FB7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325437</xdr:colOff>
      <xdr:row>344</xdr:row>
      <xdr:rowOff>119062</xdr:rowOff>
    </xdr:from>
    <xdr:to>
      <xdr:col>10</xdr:col>
      <xdr:colOff>238125</xdr:colOff>
      <xdr:row>360</xdr:row>
      <xdr:rowOff>65881</xdr:rowOff>
    </xdr:to>
    <xdr:graphicFrame macro="">
      <xdr:nvGraphicFramePr>
        <xdr:cNvPr id="7" name="Chart 6">
          <a:extLst>
            <a:ext uri="{FF2B5EF4-FFF2-40B4-BE49-F238E27FC236}">
              <a16:creationId xmlns:a16="http://schemas.microsoft.com/office/drawing/2014/main" id="{C54748A9-C5D3-97B9-75A0-E989B1631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21</xdr:col>
      <xdr:colOff>470340</xdr:colOff>
      <xdr:row>4</xdr:row>
      <xdr:rowOff>137808</xdr:rowOff>
    </xdr:to>
    <xdr:sp macro="" textlink="">
      <xdr:nvSpPr>
        <xdr:cNvPr id="2" name="Rectangle 1">
          <a:extLst>
            <a:ext uri="{FF2B5EF4-FFF2-40B4-BE49-F238E27FC236}">
              <a16:creationId xmlns:a16="http://schemas.microsoft.com/office/drawing/2014/main" id="{D4E933F5-B8ED-2638-D9A5-6B9AC793EDC4}"/>
            </a:ext>
          </a:extLst>
        </xdr:cNvPr>
        <xdr:cNvSpPr/>
      </xdr:nvSpPr>
      <xdr:spPr>
        <a:xfrm>
          <a:off x="0" y="0"/>
          <a:ext cx="16285893" cy="997085"/>
        </a:xfrm>
        <a:prstGeom prst="rect">
          <a:avLst/>
        </a:prstGeom>
        <a:solidFill>
          <a:schemeClr val="tx2"/>
        </a:solidFill>
        <a:ln>
          <a:solidFill>
            <a:schemeClr val="accent4"/>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200" b="1">
              <a:solidFill>
                <a:schemeClr val="bg1"/>
              </a:solidFill>
            </a:rPr>
            <a:t>SALES ANALYTICS DASHBOARD           </a:t>
          </a:r>
        </a:p>
      </xdr:txBody>
    </xdr:sp>
    <xdr:clientData/>
  </xdr:twoCellAnchor>
  <xdr:twoCellAnchor>
    <xdr:from>
      <xdr:col>8</xdr:col>
      <xdr:colOff>48638</xdr:colOff>
      <xdr:row>4</xdr:row>
      <xdr:rowOff>121596</xdr:rowOff>
    </xdr:from>
    <xdr:to>
      <xdr:col>11</xdr:col>
      <xdr:colOff>543129</xdr:colOff>
      <xdr:row>10</xdr:row>
      <xdr:rowOff>137808</xdr:rowOff>
    </xdr:to>
    <xdr:sp macro="" textlink="">
      <xdr:nvSpPr>
        <xdr:cNvPr id="25" name="Rectangle 24">
          <a:extLst>
            <a:ext uri="{FF2B5EF4-FFF2-40B4-BE49-F238E27FC236}">
              <a16:creationId xmlns:a16="http://schemas.microsoft.com/office/drawing/2014/main" id="{9AF1B5FF-F48D-4BBF-A613-1C9276DF8A75}"/>
            </a:ext>
          </a:extLst>
        </xdr:cNvPr>
        <xdr:cNvSpPr/>
      </xdr:nvSpPr>
      <xdr:spPr>
        <a:xfrm>
          <a:off x="7603787" y="980873"/>
          <a:ext cx="2675108" cy="115921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accent2"/>
              </a:solidFill>
              <a:effectLst>
                <a:outerShdw blurRad="38100" dist="25400" dir="5400000" algn="ctr" rotWithShape="0">
                  <a:srgbClr val="6E747A">
                    <a:alpha val="43000"/>
                  </a:srgbClr>
                </a:outerShdw>
              </a:effectLst>
            </a:rPr>
            <a:t>TOTAL</a:t>
          </a:r>
          <a:r>
            <a:rPr lang="en-IN" sz="1800" b="1" cap="none" spc="0" baseline="0">
              <a:ln w="0"/>
              <a:solidFill>
                <a:schemeClr val="accent2"/>
              </a:solidFill>
              <a:effectLst>
                <a:outerShdw blurRad="38100" dist="25400" dir="5400000" algn="ctr" rotWithShape="0">
                  <a:srgbClr val="6E747A">
                    <a:alpha val="43000"/>
                  </a:srgbClr>
                </a:outerShdw>
              </a:effectLst>
            </a:rPr>
            <a:t>   UNIT PRICE</a:t>
          </a:r>
        </a:p>
        <a:p>
          <a:pPr algn="l"/>
          <a:r>
            <a:rPr lang="en-IN" sz="1200" b="1" i="0" u="none" strike="noStrike">
              <a:solidFill>
                <a:schemeClr val="tx1"/>
              </a:solidFill>
              <a:effectLst/>
              <a:latin typeface="+mn-lt"/>
              <a:ea typeface="+mn-ea"/>
              <a:cs typeface="+mn-cs"/>
            </a:rPr>
            <a:t>                                                                                                 </a:t>
          </a:r>
          <a:r>
            <a:rPr lang="en-IN" sz="1600" b="1" i="0" u="none" strike="noStrike">
              <a:solidFill>
                <a:schemeClr val="tx1"/>
              </a:solidFill>
              <a:effectLst/>
              <a:latin typeface="+mn-lt"/>
              <a:ea typeface="+mn-ea"/>
              <a:cs typeface="+mn-cs"/>
            </a:rPr>
            <a:t>               </a:t>
          </a:r>
          <a:r>
            <a:rPr lang="en-IN" sz="2400" b="1" i="0" u="none" strike="noStrike">
              <a:solidFill>
                <a:schemeClr val="tx1"/>
              </a:solidFill>
              <a:effectLst/>
              <a:latin typeface="+mn-lt"/>
              <a:ea typeface="+mn-ea"/>
              <a:cs typeface="+mn-cs"/>
            </a:rPr>
            <a:t>11,736,200 </a:t>
          </a:r>
          <a:r>
            <a:rPr lang="en-IN" sz="2800" b="1" i="0" u="none" strike="noStrike">
              <a:solidFill>
                <a:schemeClr val="tx1"/>
              </a:solidFill>
              <a:effectLst/>
              <a:latin typeface="+mn-lt"/>
              <a:ea typeface="+mn-ea"/>
              <a:cs typeface="+mn-cs"/>
            </a:rPr>
            <a:t>           </a:t>
          </a:r>
          <a:r>
            <a:rPr lang="en-IN" sz="1100" b="0" i="0" u="none" strike="noStrike">
              <a:solidFill>
                <a:schemeClr val="lt1"/>
              </a:solidFill>
              <a:effectLst/>
              <a:latin typeface="+mn-lt"/>
              <a:ea typeface="+mn-ea"/>
              <a:cs typeface="+mn-cs"/>
            </a:rPr>
            <a:t>5,541.00      1.00  ₹            5,541.00 </a:t>
          </a:r>
          <a:endParaRPr lang="en-IN" sz="2400" b="0"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15</xdr:col>
      <xdr:colOff>348574</xdr:colOff>
      <xdr:row>4</xdr:row>
      <xdr:rowOff>145914</xdr:rowOff>
    </xdr:from>
    <xdr:to>
      <xdr:col>19</xdr:col>
      <xdr:colOff>470169</xdr:colOff>
      <xdr:row>10</xdr:row>
      <xdr:rowOff>129702</xdr:rowOff>
    </xdr:to>
    <xdr:sp macro="" textlink="">
      <xdr:nvSpPr>
        <xdr:cNvPr id="26" name="Rectangle 25">
          <a:extLst>
            <a:ext uri="{FF2B5EF4-FFF2-40B4-BE49-F238E27FC236}">
              <a16:creationId xmlns:a16="http://schemas.microsoft.com/office/drawing/2014/main" id="{989EFDD7-60D8-4AAC-BF99-EBF50D1985B9}"/>
            </a:ext>
          </a:extLst>
        </xdr:cNvPr>
        <xdr:cNvSpPr/>
      </xdr:nvSpPr>
      <xdr:spPr>
        <a:xfrm>
          <a:off x="12516255" y="1005191"/>
          <a:ext cx="2553510" cy="112678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accent2"/>
              </a:solidFill>
              <a:effectLst>
                <a:outerShdw blurRad="38100" dist="25400" dir="5400000" algn="ctr" rotWithShape="0">
                  <a:srgbClr val="6E747A">
                    <a:alpha val="43000"/>
                  </a:srgbClr>
                </a:outerShdw>
              </a:effectLst>
            </a:rPr>
            <a:t>TOTAL</a:t>
          </a:r>
          <a:r>
            <a:rPr lang="en-IN" sz="1800" b="1" cap="none" spc="0" baseline="0">
              <a:ln w="0"/>
              <a:solidFill>
                <a:schemeClr val="accent2"/>
              </a:solidFill>
              <a:effectLst>
                <a:outerShdw blurRad="38100" dist="25400" dir="5400000" algn="ctr" rotWithShape="0">
                  <a:srgbClr val="6E747A">
                    <a:alpha val="43000"/>
                  </a:srgbClr>
                </a:outerShdw>
              </a:effectLst>
            </a:rPr>
            <a:t>  COST</a:t>
          </a:r>
        </a:p>
        <a:p>
          <a:pPr algn="l"/>
          <a:r>
            <a:rPr lang="en-IN" sz="1100" b="1" i="0" u="none" strike="noStrike">
              <a:solidFill>
                <a:schemeClr val="tx1"/>
              </a:solidFill>
              <a:effectLst/>
              <a:latin typeface="+mn-lt"/>
              <a:ea typeface="+mn-ea"/>
              <a:cs typeface="+mn-cs"/>
            </a:rPr>
            <a:t>                          </a:t>
          </a:r>
          <a:r>
            <a:rPr lang="en-IN" sz="1100" b="0" i="0" u="none" strike="noStrike">
              <a:solidFill>
                <a:schemeClr val="lt1"/>
              </a:solidFill>
              <a:effectLst/>
              <a:latin typeface="+mn-lt"/>
              <a:ea typeface="+mn-ea"/>
              <a:cs typeface="+mn-cs"/>
            </a:rPr>
            <a:t> ₹ 5,33</a:t>
          </a:r>
        </a:p>
        <a:p>
          <a:pPr algn="l"/>
          <a:r>
            <a:rPr lang="en-IN" sz="1800" b="1" i="0" u="none" strike="noStrike">
              <a:solidFill>
                <a:schemeClr val="tx1">
                  <a:lumMod val="65000"/>
                  <a:lumOff val="35000"/>
                </a:schemeClr>
              </a:solidFill>
              <a:effectLst/>
              <a:latin typeface="+mn-lt"/>
              <a:ea typeface="+mn-ea"/>
              <a:cs typeface="+mn-cs"/>
            </a:rPr>
            <a:t>        </a:t>
          </a:r>
          <a:r>
            <a:rPr lang="en-IN" sz="2000" b="1" i="0" u="none" strike="noStrike">
              <a:solidFill>
                <a:schemeClr val="tx1"/>
              </a:solidFill>
              <a:effectLst/>
              <a:latin typeface="+mn-lt"/>
              <a:ea typeface="+mn-ea"/>
              <a:cs typeface="+mn-cs"/>
            </a:rPr>
            <a:t>₹5,33,37,352.00 </a:t>
          </a:r>
          <a:r>
            <a:rPr lang="en-IN" sz="1100" b="0" i="0" u="none" strike="noStrike">
              <a:solidFill>
                <a:schemeClr val="lt1"/>
              </a:solidFill>
              <a:effectLst/>
              <a:latin typeface="+mn-lt"/>
              <a:ea typeface="+mn-ea"/>
              <a:cs typeface="+mn-cs"/>
            </a:rPr>
            <a:t>3,352.00 </a:t>
          </a:r>
          <a:r>
            <a:rPr lang="en-IN" sz="1800" b="1" i="0" u="none" strike="noStrike">
              <a:solidFill>
                <a:schemeClr val="tx1">
                  <a:lumMod val="65000"/>
                  <a:lumOff val="35000"/>
                </a:schemeClr>
              </a:solidFill>
              <a:effectLst/>
              <a:latin typeface="+mn-lt"/>
              <a:ea typeface="+mn-ea"/>
              <a:cs typeface="+mn-cs"/>
            </a:rPr>
            <a:t>      </a:t>
          </a:r>
          <a:r>
            <a:rPr lang="en-IN" sz="1100" b="0" i="0" u="none" strike="noStrike">
              <a:solidFill>
                <a:schemeClr val="lt1"/>
              </a:solidFill>
              <a:effectLst/>
              <a:latin typeface="+mn-lt"/>
              <a:ea typeface="+mn-ea"/>
              <a:cs typeface="+mn-cs"/>
            </a:rPr>
            <a:t> ₹ 5,31,73,352.00 </a:t>
          </a:r>
          <a:r>
            <a:rPr lang="en-IN" sz="1800" b="1" i="0" u="none" strike="noStrike">
              <a:solidFill>
                <a:schemeClr val="tx1">
                  <a:lumMod val="65000"/>
                  <a:lumOff val="35000"/>
                </a:schemeClr>
              </a:solidFill>
              <a:effectLst/>
              <a:latin typeface="+mn-lt"/>
              <a:ea typeface="+mn-ea"/>
              <a:cs typeface="+mn-cs"/>
            </a:rPr>
            <a:t> </a:t>
          </a:r>
          <a:r>
            <a:rPr lang="en-IN" sz="1100" b="0" i="0" u="none" strike="noStrike">
              <a:solidFill>
                <a:schemeClr val="lt1"/>
              </a:solidFill>
              <a:effectLst/>
              <a:latin typeface="+mn-lt"/>
              <a:ea typeface="+mn-ea"/>
              <a:cs typeface="+mn-cs"/>
            </a:rPr>
            <a:t>5,541.00 1.00  ₹            5,541.00 </a:t>
          </a:r>
          <a:endParaRPr lang="en-IN" sz="2400" b="0"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0</xdr:col>
      <xdr:colOff>0</xdr:colOff>
      <xdr:row>10</xdr:row>
      <xdr:rowOff>169052</xdr:rowOff>
    </xdr:from>
    <xdr:to>
      <xdr:col>7</xdr:col>
      <xdr:colOff>1931822</xdr:colOff>
      <xdr:row>26</xdr:row>
      <xdr:rowOff>46105</xdr:rowOff>
    </xdr:to>
    <xdr:graphicFrame macro="">
      <xdr:nvGraphicFramePr>
        <xdr:cNvPr id="29" name="Chart 3">
          <a:extLst>
            <a:ext uri="{FF2B5EF4-FFF2-40B4-BE49-F238E27FC236}">
              <a16:creationId xmlns:a16="http://schemas.microsoft.com/office/drawing/2014/main" id="{82E7932B-B54A-1176-FC6D-1D39943FA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1888786</xdr:colOff>
      <xdr:row>10</xdr:row>
      <xdr:rowOff>162126</xdr:rowOff>
    </xdr:from>
    <xdr:to>
      <xdr:col>16</xdr:col>
      <xdr:colOff>72957</xdr:colOff>
      <xdr:row>26</xdr:row>
      <xdr:rowOff>64850</xdr:rowOff>
    </xdr:to>
    <xdr:graphicFrame macro="">
      <xdr:nvGraphicFramePr>
        <xdr:cNvPr id="30" name="Chart 1">
          <a:extLst>
            <a:ext uri="{FF2B5EF4-FFF2-40B4-BE49-F238E27FC236}">
              <a16:creationId xmlns:a16="http://schemas.microsoft.com/office/drawing/2014/main" id="{F70670B1-BFB7-7120-640D-CCA05F1EB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15876</xdr:colOff>
      <xdr:row>25</xdr:row>
      <xdr:rowOff>166687</xdr:rowOff>
    </xdr:from>
    <xdr:to>
      <xdr:col>8</xdr:col>
      <xdr:colOff>0</xdr:colOff>
      <xdr:row>42</xdr:row>
      <xdr:rowOff>55563</xdr:rowOff>
    </xdr:to>
    <xdr:graphicFrame macro="">
      <xdr:nvGraphicFramePr>
        <xdr:cNvPr id="31" name="Chart 2">
          <a:extLst>
            <a:ext uri="{FF2B5EF4-FFF2-40B4-BE49-F238E27FC236}">
              <a16:creationId xmlns:a16="http://schemas.microsoft.com/office/drawing/2014/main" id="{98AB2346-4A25-161B-3A55-FBD0E16F6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28204</xdr:colOff>
      <xdr:row>25</xdr:row>
      <xdr:rowOff>145578</xdr:rowOff>
    </xdr:from>
    <xdr:to>
      <xdr:col>16</xdr:col>
      <xdr:colOff>44078</xdr:colOff>
      <xdr:row>42</xdr:row>
      <xdr:rowOff>62321</xdr:rowOff>
    </xdr:to>
    <xdr:graphicFrame macro="">
      <xdr:nvGraphicFramePr>
        <xdr:cNvPr id="32" name="Chart 1">
          <a:extLst>
            <a:ext uri="{FF2B5EF4-FFF2-40B4-BE49-F238E27FC236}">
              <a16:creationId xmlns:a16="http://schemas.microsoft.com/office/drawing/2014/main" id="{A141DB12-9503-8545-6262-9CD1A437A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51118</xdr:colOff>
      <xdr:row>42</xdr:row>
      <xdr:rowOff>44450</xdr:rowOff>
    </xdr:from>
    <xdr:to>
      <xdr:col>8</xdr:col>
      <xdr:colOff>0</xdr:colOff>
      <xdr:row>59</xdr:row>
      <xdr:rowOff>72707</xdr:rowOff>
    </xdr:to>
    <xdr:graphicFrame macro="">
      <xdr:nvGraphicFramePr>
        <xdr:cNvPr id="33" name="Chart 1">
          <a:extLst>
            <a:ext uri="{FF2B5EF4-FFF2-40B4-BE49-F238E27FC236}">
              <a16:creationId xmlns:a16="http://schemas.microsoft.com/office/drawing/2014/main" id="{36BE0A7C-8CA2-39FA-4C24-F30D5041F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17057</xdr:colOff>
      <xdr:row>42</xdr:row>
      <xdr:rowOff>39857</xdr:rowOff>
    </xdr:from>
    <xdr:to>
      <xdr:col>19</xdr:col>
      <xdr:colOff>529786</xdr:colOff>
      <xdr:row>59</xdr:row>
      <xdr:rowOff>79544</xdr:rowOff>
    </xdr:to>
    <xdr:graphicFrame macro="">
      <xdr:nvGraphicFramePr>
        <xdr:cNvPr id="34" name="Chart 1">
          <a:extLst>
            <a:ext uri="{FF2B5EF4-FFF2-40B4-BE49-F238E27FC236}">
              <a16:creationId xmlns:a16="http://schemas.microsoft.com/office/drawing/2014/main" id="{9604D883-AD40-4541-79C6-828E1F9BB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421958</xdr:colOff>
      <xdr:row>25</xdr:row>
      <xdr:rowOff>23177</xdr:rowOff>
    </xdr:from>
    <xdr:to>
      <xdr:col>22</xdr:col>
      <xdr:colOff>412750</xdr:colOff>
      <xdr:row>38</xdr:row>
      <xdr:rowOff>116840</xdr:rowOff>
    </xdr:to>
    <mc:AlternateContent xmlns:mc="http://schemas.openxmlformats.org/markup-compatibility/2006" xmlns:a14="http://schemas.microsoft.com/office/drawing/2010/main">
      <mc:Choice Requires="a14">
        <xdr:graphicFrame macro="">
          <xdr:nvGraphicFramePr>
            <xdr:cNvPr id="35" name="Product">
              <a:extLst>
                <a:ext uri="{FF2B5EF4-FFF2-40B4-BE49-F238E27FC236}">
                  <a16:creationId xmlns:a16="http://schemas.microsoft.com/office/drawing/2014/main" id="{29684D4A-0E09-B4C1-54D1-5227120F293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608128" y="4797837"/>
              <a:ext cx="1814728" cy="2517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44767</xdr:colOff>
      <xdr:row>10</xdr:row>
      <xdr:rowOff>114299</xdr:rowOff>
    </xdr:from>
    <xdr:to>
      <xdr:col>22</xdr:col>
      <xdr:colOff>40004</xdr:colOff>
      <xdr:row>24</xdr:row>
      <xdr:rowOff>25400</xdr:rowOff>
    </xdr:to>
    <mc:AlternateContent xmlns:mc="http://schemas.openxmlformats.org/markup-compatibility/2006" xmlns:a14="http://schemas.microsoft.com/office/drawing/2010/main">
      <mc:Choice Requires="a14">
        <xdr:graphicFrame macro="">
          <xdr:nvGraphicFramePr>
            <xdr:cNvPr id="36" name="Category">
              <a:extLst>
                <a:ext uri="{FF2B5EF4-FFF2-40B4-BE49-F238E27FC236}">
                  <a16:creationId xmlns:a16="http://schemas.microsoft.com/office/drawing/2014/main" id="{45F81675-1DA4-4C95-DE65-F6DFD5E15C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230937" y="2092256"/>
              <a:ext cx="1819173" cy="2521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24764</xdr:colOff>
      <xdr:row>10</xdr:row>
      <xdr:rowOff>166687</xdr:rowOff>
    </xdr:from>
    <xdr:to>
      <xdr:col>19</xdr:col>
      <xdr:colOff>20002</xdr:colOff>
      <xdr:row>24</xdr:row>
      <xdr:rowOff>76835</xdr:rowOff>
    </xdr:to>
    <mc:AlternateContent xmlns:mc="http://schemas.openxmlformats.org/markup-compatibility/2006" xmlns:a14="http://schemas.microsoft.com/office/drawing/2010/main">
      <mc:Choice Requires="a14">
        <xdr:graphicFrame macro="">
          <xdr:nvGraphicFramePr>
            <xdr:cNvPr id="37" name="Region">
              <a:extLst>
                <a:ext uri="{FF2B5EF4-FFF2-40B4-BE49-F238E27FC236}">
                  <a16:creationId xmlns:a16="http://schemas.microsoft.com/office/drawing/2014/main" id="{AE193D6A-F852-47E2-7F15-CF46CEF214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86998" y="2144644"/>
              <a:ext cx="1819174" cy="2520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338137</xdr:colOff>
      <xdr:row>25</xdr:row>
      <xdr:rowOff>74294</xdr:rowOff>
    </xdr:from>
    <xdr:to>
      <xdr:col>19</xdr:col>
      <xdr:colOff>333375</xdr:colOff>
      <xdr:row>38</xdr:row>
      <xdr:rowOff>167957</xdr:rowOff>
    </xdr:to>
    <mc:AlternateContent xmlns:mc="http://schemas.openxmlformats.org/markup-compatibility/2006" xmlns:a14="http://schemas.microsoft.com/office/drawing/2010/main">
      <mc:Choice Requires="a14">
        <xdr:graphicFrame macro="">
          <xdr:nvGraphicFramePr>
            <xdr:cNvPr id="38" name="Salesperson">
              <a:extLst>
                <a:ext uri="{FF2B5EF4-FFF2-40B4-BE49-F238E27FC236}">
                  <a16:creationId xmlns:a16="http://schemas.microsoft.com/office/drawing/2014/main" id="{F5D69F7A-C068-3E54-24D6-63D2F7111A0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700371" y="4848954"/>
              <a:ext cx="1819174" cy="2517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4</xdr:row>
      <xdr:rowOff>145915</xdr:rowOff>
    </xdr:from>
    <xdr:ext cx="2229254" cy="1159212"/>
    <xdr:sp macro="" textlink="">
      <xdr:nvSpPr>
        <xdr:cNvPr id="4" name="TextBox 3">
          <a:extLst>
            <a:ext uri="{FF2B5EF4-FFF2-40B4-BE49-F238E27FC236}">
              <a16:creationId xmlns:a16="http://schemas.microsoft.com/office/drawing/2014/main" id="{C968B11B-EB3D-45EA-3AB6-809E72544A26}"/>
            </a:ext>
          </a:extLst>
        </xdr:cNvPr>
        <xdr:cNvSpPr txBox="1"/>
      </xdr:nvSpPr>
      <xdr:spPr>
        <a:xfrm>
          <a:off x="0" y="1005192"/>
          <a:ext cx="2229254" cy="115921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100"/>
            <a:t>                        </a:t>
          </a:r>
        </a:p>
        <a:p>
          <a:r>
            <a:rPr lang="en-US" sz="2000" b="1">
              <a:solidFill>
                <a:schemeClr val="accent2"/>
              </a:solidFill>
            </a:rPr>
            <a:t>TOTAL SALES</a:t>
          </a:r>
        </a:p>
        <a:p>
          <a:r>
            <a:rPr lang="en-US" sz="1100"/>
            <a:t>             </a:t>
          </a:r>
        </a:p>
        <a:p>
          <a:r>
            <a:rPr lang="en-US" sz="1800" b="1">
              <a:solidFill>
                <a:schemeClr val="tx1"/>
              </a:solidFill>
            </a:rPr>
            <a:t>           </a:t>
          </a:r>
          <a:r>
            <a:rPr lang="en-US" sz="1800" b="1" cap="none" spc="0">
              <a:ln w="0"/>
              <a:solidFill>
                <a:schemeClr val="tx1"/>
              </a:solidFill>
              <a:effectLst>
                <a:outerShdw blurRad="38100" dist="19050" dir="2700000" algn="tl" rotWithShape="0">
                  <a:schemeClr val="dk1">
                    <a:alpha val="40000"/>
                  </a:schemeClr>
                </a:outerShdw>
              </a:effectLst>
            </a:rPr>
            <a:t>65045700</a:t>
          </a:r>
          <a:endParaRPr lang="en-US" sz="1800" b="1">
            <a:solidFill>
              <a:schemeClr val="tx1"/>
            </a:solidFill>
          </a:endParaRPr>
        </a:p>
      </xdr:txBody>
    </xdr:sp>
    <xdr:clientData/>
  </xdr:oneCellAnchor>
  <xdr:twoCellAnchor>
    <xdr:from>
      <xdr:col>6</xdr:col>
      <xdr:colOff>113489</xdr:colOff>
      <xdr:row>4</xdr:row>
      <xdr:rowOff>162130</xdr:rowOff>
    </xdr:from>
    <xdr:to>
      <xdr:col>8</xdr:col>
      <xdr:colOff>32427</xdr:colOff>
      <xdr:row>11</xdr:row>
      <xdr:rowOff>0</xdr:rowOff>
    </xdr:to>
    <xdr:sp macro="" textlink="">
      <xdr:nvSpPr>
        <xdr:cNvPr id="8" name="Rectangle 7">
          <a:extLst>
            <a:ext uri="{FF2B5EF4-FFF2-40B4-BE49-F238E27FC236}">
              <a16:creationId xmlns:a16="http://schemas.microsoft.com/office/drawing/2014/main" id="{67682391-2640-4C1B-B6BB-5CA425FCC0D2}"/>
            </a:ext>
          </a:extLst>
        </xdr:cNvPr>
        <xdr:cNvSpPr/>
      </xdr:nvSpPr>
      <xdr:spPr>
        <a:xfrm>
          <a:off x="4685489" y="1021407"/>
          <a:ext cx="2902087" cy="11673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accent2"/>
              </a:solidFill>
              <a:effectLst>
                <a:outerShdw blurRad="38100" dist="25400" dir="5400000" algn="ctr" rotWithShape="0">
                  <a:srgbClr val="6E747A">
                    <a:alpha val="43000"/>
                  </a:srgbClr>
                </a:outerShdw>
              </a:effectLst>
            </a:rPr>
            <a:t>TOTAL</a:t>
          </a:r>
          <a:r>
            <a:rPr lang="en-IN" sz="1800" b="1" cap="none" spc="0" baseline="0">
              <a:ln w="0"/>
              <a:solidFill>
                <a:schemeClr val="accent2"/>
              </a:solidFill>
              <a:effectLst>
                <a:outerShdw blurRad="38100" dist="25400" dir="5400000" algn="ctr" rotWithShape="0">
                  <a:srgbClr val="6E747A">
                    <a:alpha val="43000"/>
                  </a:srgbClr>
                </a:outerShdw>
              </a:effectLst>
            </a:rPr>
            <a:t>  QUANTITY</a:t>
          </a:r>
        </a:p>
        <a:p>
          <a:pPr algn="l"/>
          <a:r>
            <a:rPr lang="en-IN" sz="1100" b="1" i="0" u="none" strike="noStrike">
              <a:solidFill>
                <a:schemeClr val="tx1"/>
              </a:solidFill>
              <a:effectLst/>
              <a:latin typeface="+mn-lt"/>
              <a:ea typeface="+mn-ea"/>
              <a:cs typeface="+mn-cs"/>
            </a:rPr>
            <a:t>                          </a:t>
          </a:r>
          <a:r>
            <a:rPr lang="en-IN" sz="2000" b="1" i="0" u="none" strike="noStrike" baseline="0">
              <a:solidFill>
                <a:schemeClr val="tx1"/>
              </a:solidFill>
              <a:effectLst/>
              <a:latin typeface="+mn-lt"/>
              <a:ea typeface="+mn-ea"/>
              <a:cs typeface="+mn-cs"/>
            </a:rPr>
            <a:t>  5,541</a:t>
          </a:r>
          <a:r>
            <a:rPr lang="en-IN" sz="3600" b="1" i="0" u="none" strike="noStrike">
              <a:solidFill>
                <a:schemeClr val="tx1"/>
              </a:solidFill>
              <a:effectLst/>
              <a:latin typeface="+mn-lt"/>
              <a:ea typeface="+mn-ea"/>
              <a:cs typeface="+mn-cs"/>
            </a:rPr>
            <a:t>     </a:t>
          </a:r>
          <a:r>
            <a:rPr lang="en-IN" sz="1100" b="0" i="0" u="none" strike="noStrike">
              <a:solidFill>
                <a:schemeClr val="lt1"/>
              </a:solidFill>
              <a:effectLst/>
              <a:latin typeface="+mn-lt"/>
              <a:ea typeface="+mn-ea"/>
              <a:cs typeface="+mn-cs"/>
            </a:rPr>
            <a:t>5,541.00 1.00  ₹            5,541.00 </a:t>
          </a:r>
          <a:endParaRPr lang="en-IN" sz="2400" b="0"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11</xdr:col>
      <xdr:colOff>518809</xdr:colOff>
      <xdr:row>4</xdr:row>
      <xdr:rowOff>137809</xdr:rowOff>
    </xdr:from>
    <xdr:to>
      <xdr:col>15</xdr:col>
      <xdr:colOff>316149</xdr:colOff>
      <xdr:row>10</xdr:row>
      <xdr:rowOff>129702</xdr:rowOff>
    </xdr:to>
    <xdr:sp macro="" textlink="">
      <xdr:nvSpPr>
        <xdr:cNvPr id="9" name="Rectangle 8">
          <a:extLst>
            <a:ext uri="{FF2B5EF4-FFF2-40B4-BE49-F238E27FC236}">
              <a16:creationId xmlns:a16="http://schemas.microsoft.com/office/drawing/2014/main" id="{239D0337-1043-4DF8-BE88-B14F5218E40A}"/>
            </a:ext>
          </a:extLst>
        </xdr:cNvPr>
        <xdr:cNvSpPr/>
      </xdr:nvSpPr>
      <xdr:spPr>
        <a:xfrm>
          <a:off x="10254575" y="997086"/>
          <a:ext cx="2229255" cy="11348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cap="none" spc="0">
              <a:ln w="0"/>
              <a:solidFill>
                <a:schemeClr val="accent2"/>
              </a:solidFill>
              <a:effectLst>
                <a:outerShdw blurRad="38100" dist="25400" dir="5400000" algn="ctr" rotWithShape="0">
                  <a:srgbClr val="6E747A">
                    <a:alpha val="43000"/>
                  </a:srgbClr>
                </a:outerShdw>
              </a:effectLst>
            </a:rPr>
            <a:t>TOTAL</a:t>
          </a:r>
          <a:r>
            <a:rPr lang="en-IN" sz="1800" b="1" cap="none" spc="0" baseline="0">
              <a:ln w="0"/>
              <a:solidFill>
                <a:schemeClr val="accent2"/>
              </a:solidFill>
              <a:effectLst>
                <a:outerShdw blurRad="38100" dist="25400" dir="5400000" algn="ctr" rotWithShape="0">
                  <a:srgbClr val="6E747A">
                    <a:alpha val="43000"/>
                  </a:srgbClr>
                </a:outerShdw>
              </a:effectLst>
            </a:rPr>
            <a:t> ORDERS</a:t>
          </a:r>
        </a:p>
        <a:p>
          <a:pPr algn="l"/>
          <a:r>
            <a:rPr lang="en-IN" sz="1100" b="1" i="0" u="none" strike="noStrike">
              <a:solidFill>
                <a:schemeClr val="tx1"/>
              </a:solidFill>
              <a:effectLst/>
              <a:latin typeface="+mn-lt"/>
              <a:ea typeface="+mn-ea"/>
              <a:cs typeface="+mn-cs"/>
            </a:rPr>
            <a:t>                          </a:t>
          </a:r>
        </a:p>
        <a:p>
          <a:pPr algn="l"/>
          <a:r>
            <a:rPr lang="en-IN" sz="1100" b="0" i="0" u="none" strike="noStrike" baseline="0">
              <a:solidFill>
                <a:schemeClr val="tx1">
                  <a:lumMod val="65000"/>
                  <a:lumOff val="35000"/>
                </a:schemeClr>
              </a:solidFill>
              <a:effectLst/>
              <a:latin typeface="+mn-lt"/>
              <a:ea typeface="+mn-ea"/>
              <a:cs typeface="+mn-cs"/>
            </a:rPr>
            <a:t>        </a:t>
          </a:r>
          <a:r>
            <a:rPr lang="en-IN" sz="1400" b="0" i="0" u="none" strike="noStrike" baseline="0">
              <a:solidFill>
                <a:schemeClr val="tx1">
                  <a:lumMod val="65000"/>
                  <a:lumOff val="35000"/>
                </a:schemeClr>
              </a:solidFill>
              <a:effectLst/>
              <a:latin typeface="+mn-lt"/>
              <a:ea typeface="+mn-ea"/>
              <a:cs typeface="+mn-cs"/>
            </a:rPr>
            <a:t>  </a:t>
          </a:r>
          <a:r>
            <a:rPr lang="en-IN" sz="1100" b="0" i="0" u="none" strike="noStrike">
              <a:solidFill>
                <a:schemeClr val="tx1">
                  <a:lumMod val="65000"/>
                  <a:lumOff val="35000"/>
                </a:schemeClr>
              </a:solidFill>
              <a:effectLst/>
              <a:latin typeface="+mn-lt"/>
              <a:ea typeface="+mn-ea"/>
              <a:cs typeface="+mn-cs"/>
            </a:rPr>
            <a:t> </a:t>
          </a:r>
          <a:r>
            <a:rPr lang="en-IN" sz="2400" b="1" i="0" u="none" strike="noStrike">
              <a:solidFill>
                <a:schemeClr val="tx1"/>
              </a:solidFill>
              <a:effectLst/>
              <a:latin typeface="+mn-lt"/>
              <a:ea typeface="+mn-ea"/>
              <a:cs typeface="+mn-cs"/>
            </a:rPr>
            <a:t>1000 </a:t>
          </a:r>
          <a:r>
            <a:rPr lang="en-IN" sz="1800" b="1" i="0" u="none" strike="noStrike">
              <a:solidFill>
                <a:schemeClr val="tx1"/>
              </a:solidFill>
              <a:effectLst/>
              <a:latin typeface="+mn-lt"/>
              <a:ea typeface="+mn-ea"/>
              <a:cs typeface="+mn-cs"/>
            </a:rPr>
            <a:t>      </a:t>
          </a:r>
          <a:r>
            <a:rPr lang="en-IN" sz="1100" b="0" i="0" u="none" strike="noStrike">
              <a:solidFill>
                <a:schemeClr val="lt1"/>
              </a:solidFill>
              <a:effectLst/>
              <a:latin typeface="+mn-lt"/>
              <a:ea typeface="+mn-ea"/>
              <a:cs typeface="+mn-cs"/>
            </a:rPr>
            <a:t>5,541.00 1.00  ₹            5,541.00 </a:t>
          </a:r>
          <a:endParaRPr lang="en-IN" sz="2400" b="0"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2</xdr:col>
      <xdr:colOff>72958</xdr:colOff>
      <xdr:row>4</xdr:row>
      <xdr:rowOff>154019</xdr:rowOff>
    </xdr:from>
    <xdr:to>
      <xdr:col>6</xdr:col>
      <xdr:colOff>81063</xdr:colOff>
      <xdr:row>11</xdr:row>
      <xdr:rowOff>2533</xdr:rowOff>
    </xdr:to>
    <xdr:sp macro="" textlink="">
      <xdr:nvSpPr>
        <xdr:cNvPr id="3" name="Rectangle 2">
          <a:extLst>
            <a:ext uri="{FF2B5EF4-FFF2-40B4-BE49-F238E27FC236}">
              <a16:creationId xmlns:a16="http://schemas.microsoft.com/office/drawing/2014/main" id="{F3A793B6-F0F8-4604-9E6B-A47C6139C9D8}"/>
            </a:ext>
          </a:extLst>
        </xdr:cNvPr>
        <xdr:cNvSpPr/>
      </xdr:nvSpPr>
      <xdr:spPr>
        <a:xfrm>
          <a:off x="2213043" y="1013296"/>
          <a:ext cx="2440020" cy="11779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cap="none" spc="0">
              <a:ln w="0"/>
              <a:solidFill>
                <a:schemeClr val="accent2"/>
              </a:solidFill>
              <a:effectLst>
                <a:outerShdw blurRad="38100" dist="25400" dir="5400000" algn="ctr" rotWithShape="0">
                  <a:srgbClr val="6E747A">
                    <a:alpha val="43000"/>
                  </a:srgbClr>
                </a:outerShdw>
              </a:effectLst>
            </a:rPr>
            <a:t>  TOTAL PROFIT                                                                                                                   </a:t>
          </a:r>
        </a:p>
        <a:p>
          <a:pPr algn="l"/>
          <a:r>
            <a:rPr lang="en-US" sz="1800" b="1" cap="none" spc="0">
              <a:ln w="0"/>
              <a:solidFill>
                <a:schemeClr val="tx1"/>
              </a:solidFill>
              <a:effectLst>
                <a:outerShdw blurRad="38100" dist="25400" dir="5400000" algn="ctr" rotWithShape="0">
                  <a:srgbClr val="6E747A">
                    <a:alpha val="43000"/>
                  </a:srgbClr>
                </a:outerShdw>
              </a:effectLst>
            </a:rPr>
            <a:t>                        </a:t>
          </a:r>
        </a:p>
        <a:p>
          <a:pPr algn="l"/>
          <a:r>
            <a:rPr lang="en-US" sz="2000" b="1" cap="none" spc="0">
              <a:ln w="0"/>
              <a:solidFill>
                <a:schemeClr val="tx1"/>
              </a:solidFill>
              <a:effectLst>
                <a:outerShdw blurRad="38100" dist="25400" dir="5400000" algn="ctr" rotWithShape="0">
                  <a:srgbClr val="6E747A">
                    <a:alpha val="43000"/>
                  </a:srgbClr>
                </a:outerShdw>
              </a:effectLst>
            </a:rPr>
            <a:t>      1,17,08,348.00 </a:t>
          </a:r>
          <a:endParaRPr lang="en-US" sz="1200" b="1" cap="none" spc="0">
            <a:ln w="0"/>
            <a:solidFill>
              <a:schemeClr val="tx1"/>
            </a:solidFill>
            <a:effectLst>
              <a:outerShdw blurRad="38100" dist="25400" dir="5400000" algn="ctr" rotWithShape="0">
                <a:srgbClr val="6E747A">
                  <a:alpha val="43000"/>
                </a:srgb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a Gudise" refreshedDate="46246.668033333335" createdVersion="8" refreshedVersion="8" minRefreshableVersion="3" recordCount="1000" xr:uid="{BC631D02-F8F4-4CE7-B24B-173B5FB0D84A}">
  <cacheSource type="worksheet">
    <worksheetSource name="salesdata"/>
  </cacheSource>
  <cacheFields count="12">
    <cacheField name="Order ID" numFmtId="0">
      <sharedItems/>
    </cacheField>
    <cacheField name="Order ID2" numFmtId="0">
      <sharedItems count="365">
        <s v="01-01-2026"/>
        <s v="02-01-2026"/>
        <s v="03-01-2026"/>
        <s v="04-01-2026"/>
        <s v="05-01-2026"/>
        <s v="06-01-2026"/>
        <s v="07-01-2026"/>
        <s v="08-01-2026"/>
        <s v="09-01-2026"/>
        <s v="10-01-2026"/>
        <s v="11-01-2026"/>
        <s v="12-01-2026"/>
        <s v="13-01-2026"/>
        <s v="14-01-2026"/>
        <s v="15-01-2026"/>
        <s v="16-01-2026"/>
        <s v="17-01-2026"/>
        <s v="18-01-2026"/>
        <s v="19-01-2026"/>
        <s v="20-01-2026"/>
        <s v="21-01-2026"/>
        <s v="22-01-2026"/>
        <s v="23-01-2026"/>
        <s v="24-01-2026"/>
        <s v="25-01-2026"/>
        <s v="26-01-2026"/>
        <s v="27-01-2026"/>
        <s v="28-01-2026"/>
        <s v="29-01-2026"/>
        <s v="30-01-2026"/>
        <s v="31-01-2026"/>
        <s v="01-02-2026"/>
        <s v="02-02-2026"/>
        <s v="03-02-2026"/>
        <s v="04-02-2026"/>
        <s v="05-02-2026"/>
        <s v="06-02-2026"/>
        <s v="07-02-2026"/>
        <s v="08-02-2026"/>
        <s v="09-02-2026"/>
        <s v="10-02-2026"/>
        <s v="11-02-2026"/>
        <s v="12-02-2026"/>
        <s v="13-02-2026"/>
        <s v="14-02-2026"/>
        <s v="15-02-2026"/>
        <s v="16-02-2026"/>
        <s v="17-02-2026"/>
        <s v="18-02-2026"/>
        <s v="19-02-2026"/>
        <s v="20-02-2026"/>
        <s v="21-02-2026"/>
        <s v="22-02-2026"/>
        <s v="23-02-2026"/>
        <s v="24-02-2026"/>
        <s v="25-02-2026"/>
        <s v="26-02-2026"/>
        <s v="27-02-2026"/>
        <s v="28-02-2026"/>
        <s v="01-03-2026"/>
        <s v="02-03-2026"/>
        <s v="03-03-2026"/>
        <s v="04-03-2026"/>
        <s v="05-03-2026"/>
        <s v="06-03-2026"/>
        <s v="07-03-2026"/>
        <s v="08-03-2026"/>
        <s v="09-03-2026"/>
        <s v="10-03-2026"/>
        <s v="11-03-2026"/>
        <s v="12-03-2026"/>
        <s v="13-03-2026"/>
        <s v="14-03-2026"/>
        <s v="15-03-2026"/>
        <s v="16-03-2026"/>
        <s v="17-03-2026"/>
        <s v="18-03-2026"/>
        <s v="19-03-2026"/>
        <s v="20-03-2026"/>
        <s v="21-03-2026"/>
        <s v="22-03-2026"/>
        <s v="23-03-2026"/>
        <s v="24-03-2026"/>
        <s v="25-03-2026"/>
        <s v="26-03-2026"/>
        <s v="27-03-2026"/>
        <s v="28-03-2026"/>
        <s v="29-03-2026"/>
        <s v="30-03-2026"/>
        <s v="31-03-2026"/>
        <s v="01-04-2026"/>
        <s v="02-04-2026"/>
        <s v="03-04-2026"/>
        <s v="04-04-2026"/>
        <s v="05-04-2026"/>
        <s v="06-04-2026"/>
        <s v="07-04-2026"/>
        <s v="08-04-2026"/>
        <s v="09-04-2026"/>
        <s v="10-04-2026"/>
        <s v="11-04-2026"/>
        <s v="12-04-2026"/>
        <s v="13-04-2026"/>
        <s v="14-04-2026"/>
        <s v="15-04-2026"/>
        <s v="16-04-2026"/>
        <s v="17-04-2026"/>
        <s v="18-04-2026"/>
        <s v="19-04-2026"/>
        <s v="20-04-2026"/>
        <s v="21-04-2026"/>
        <s v="22-04-2026"/>
        <s v="23-04-2026"/>
        <s v="24-04-2026"/>
        <s v="25-04-2026"/>
        <s v="26-04-2026"/>
        <s v="27-04-2026"/>
        <s v="28-04-2026"/>
        <s v="29-04-2026"/>
        <s v="30-04-2026"/>
        <s v="01-05-2026"/>
        <s v="02-05-2026"/>
        <s v="03-05-2026"/>
        <s v="04-05-2026"/>
        <s v="05-05-2026"/>
        <s v="06-05-2026"/>
        <s v="07-05-2026"/>
        <s v="08-05-2026"/>
        <s v="09-05-2026"/>
        <s v="10-05-2026"/>
        <s v="11-05-2026"/>
        <s v="12-05-2026"/>
        <s v="13-05-2026"/>
        <s v="14-05-2026"/>
        <s v="15-05-2026"/>
        <s v="16-05-2026"/>
        <s v="17-05-2026"/>
        <s v="18-05-2026"/>
        <s v="19-05-2026"/>
        <s v="20-05-2026"/>
        <s v="21-05-2026"/>
        <s v="22-05-2026"/>
        <s v="23-05-2026"/>
        <s v="24-05-2026"/>
        <s v="25-05-2026"/>
        <s v="26-05-2026"/>
        <s v="27-05-2026"/>
        <s v="28-05-2026"/>
        <s v="29-05-2026"/>
        <s v="30-05-2026"/>
        <s v="31-05-2026"/>
        <s v="01-06-2026"/>
        <s v="02-06-2026"/>
        <s v="03-06-2026"/>
        <s v="04-06-2026"/>
        <s v="05-06-2026"/>
        <s v="06-06-2026"/>
        <s v="07-06-2026"/>
        <s v="08-06-2026"/>
        <s v="09-06-2026"/>
        <s v="10-06-2026"/>
        <s v="11-06-2026"/>
        <s v="12-06-2026"/>
        <s v="13-06-2026"/>
        <s v="14-06-2026"/>
        <s v="15-06-2026"/>
        <s v="16-06-2026"/>
        <s v="17-06-2026"/>
        <s v="18-06-2026"/>
        <s v="19-06-2026"/>
        <s v="20-06-2026"/>
        <s v="21-06-2026"/>
        <s v="22-06-2026"/>
        <s v="23-06-2026"/>
        <s v="24-06-2026"/>
        <s v="25-06-2026"/>
        <s v="26-06-2026"/>
        <s v="27-06-2026"/>
        <s v="28-06-2026"/>
        <s v="29-06-2026"/>
        <s v="30-06-2026"/>
        <s v="01-07-2026"/>
        <s v="02-07-2026"/>
        <s v="03-07-2026"/>
        <s v="04-07-2026"/>
        <s v="05-07-2026"/>
        <s v="06-07-2026"/>
        <s v="07-07-2026"/>
        <s v="08-07-2026"/>
        <s v="09-07-2026"/>
        <s v="10-07-2026"/>
        <s v="11-07-2026"/>
        <s v="12-07-2026"/>
        <s v="13-07-2026"/>
        <s v="14-07-2026"/>
        <s v="15-07-2026"/>
        <s v="16-07-2026"/>
        <s v="17-07-2026"/>
        <s v="18-07-2026"/>
        <s v="19-07-2026"/>
        <s v="20-07-2026"/>
        <s v="21-07-2026"/>
        <s v="22-07-2026"/>
        <s v="23-07-2026"/>
        <s v="24-07-2026"/>
        <s v="25-07-2026"/>
        <s v="26-07-2026"/>
        <s v="27-07-2026"/>
        <s v="28-07-2026"/>
        <s v="29-07-2026"/>
        <s v="30-07-2026"/>
        <s v="31-07-2026"/>
        <s v="01-08-2026"/>
        <s v="02-08-2026"/>
        <s v="03-08-2026"/>
        <s v="04-08-2026"/>
        <s v="05-08-2026"/>
        <s v="06-08-2026"/>
        <s v="07-08-2026"/>
        <s v="08-08-2026"/>
        <s v="09-08-2026"/>
        <s v="10-08-2026"/>
        <s v="11-08-2026"/>
        <s v="12-08-2026"/>
        <s v="13-08-2026"/>
        <s v="14-08-2026"/>
        <s v="15-08-2026"/>
        <s v="16-08-2026"/>
        <s v="17-08-2026"/>
        <s v="18-08-2026"/>
        <s v="19-08-2026"/>
        <s v="20-08-2026"/>
        <s v="21-08-2026"/>
        <s v="22-08-2026"/>
        <s v="23-08-2026"/>
        <s v="24-08-2026"/>
        <s v="25-08-2026"/>
        <s v="26-08-2026"/>
        <s v="27-08-2026"/>
        <s v="28-08-2026"/>
        <s v="29-08-2026"/>
        <s v="30-08-2026"/>
        <s v="31-08-2026"/>
        <s v="01-09-2026"/>
        <s v="02-09-2026"/>
        <s v="03-09-2026"/>
        <s v="04-09-2026"/>
        <s v="05-09-2026"/>
        <s v="06-09-2026"/>
        <s v="07-09-2026"/>
        <s v="08-09-2026"/>
        <s v="09-09-2026"/>
        <s v="10-09-2026"/>
        <s v="11-09-2026"/>
        <s v="12-09-2026"/>
        <s v="13-09-2026"/>
        <s v="14-09-2026"/>
        <s v="15-09-2026"/>
        <s v="16-09-2026"/>
        <s v="17-09-2026"/>
        <s v="18-09-2026"/>
        <s v="19-09-2026"/>
        <s v="20-09-2026"/>
        <s v="21-09-2026"/>
        <s v="22-09-2026"/>
        <s v="23-09-2026"/>
        <s v="24-09-2026"/>
        <s v="25-09-2026"/>
        <s v="26-09-2026"/>
        <s v="27-09-2026"/>
        <s v="28-09-2026"/>
        <s v="29-09-2026"/>
        <s v="30-09-2026"/>
        <s v="01-10-2026"/>
        <s v="02-10-2026"/>
        <s v="03-10-2026"/>
        <s v="04-10-2026"/>
        <s v="05-10-2026"/>
        <s v="06-10-2026"/>
        <s v="07-10-2026"/>
        <s v="08-10-2026"/>
        <s v="09-10-2026"/>
        <s v="10-10-2026"/>
        <s v="11-10-2026"/>
        <s v="12-10-2026"/>
        <s v="13-10-2026"/>
        <s v="14-10-2026"/>
        <s v="15-10-2026"/>
        <s v="16-10-2026"/>
        <s v="17-10-2026"/>
        <s v="18-10-2026"/>
        <s v="19-10-2026"/>
        <s v="20-10-2026"/>
        <s v="21-10-2026"/>
        <s v="22-10-2026"/>
        <s v="23-10-2026"/>
        <s v="24-10-2026"/>
        <s v="25-10-2026"/>
        <s v="26-10-2026"/>
        <s v="27-10-2026"/>
        <s v="28-10-2026"/>
        <s v="29-10-2026"/>
        <s v="30-10-2026"/>
        <s v="31-10-2026"/>
        <s v="01-11-2026"/>
        <s v="02-11-2026"/>
        <s v="03-11-2026"/>
        <s v="04-11-2026"/>
        <s v="05-11-2026"/>
        <s v="06-11-2026"/>
        <s v="07-11-2026"/>
        <s v="08-11-2026"/>
        <s v="09-11-2026"/>
        <s v="10-11-2026"/>
        <s v="11-11-2026"/>
        <s v="12-11-2026"/>
        <s v="13-11-2026"/>
        <s v="14-11-2026"/>
        <s v="15-11-2026"/>
        <s v="16-11-2026"/>
        <s v="17-11-2026"/>
        <s v="18-11-2026"/>
        <s v="19-11-2026"/>
        <s v="20-11-2026"/>
        <s v="21-11-2026"/>
        <s v="22-11-2026"/>
        <s v="23-11-2026"/>
        <s v="24-11-2026"/>
        <s v="25-11-2026"/>
        <s v="26-11-2026"/>
        <s v="27-11-2026"/>
        <s v="28-11-2026"/>
        <s v="29-11-2026"/>
        <s v="30-11-2026"/>
        <s v="01-12-2026"/>
        <s v="02-12-2026"/>
        <s v="03-12-2026"/>
        <s v="04-12-2026"/>
        <s v="05-12-2026"/>
        <s v="06-12-2026"/>
        <s v="07-12-2026"/>
        <s v="08-12-2026"/>
        <s v="09-12-2026"/>
        <s v="10-12-2026"/>
        <s v="11-12-2026"/>
        <s v="12-12-2026"/>
        <s v="13-12-2026"/>
        <s v="14-12-2026"/>
        <s v="15-12-2026"/>
        <s v="16-12-2026"/>
        <s v="17-12-2026"/>
        <s v="18-12-2026"/>
        <s v="19-12-2026"/>
        <s v="20-12-2026"/>
        <s v="21-12-2026"/>
        <s v="22-12-2026"/>
        <s v="23-12-2026"/>
        <s v="24-12-2026"/>
        <s v="25-12-2026"/>
        <s v="26-12-2026"/>
        <s v="27-12-2026"/>
        <s v="28-12-2026"/>
        <s v="29-12-2026"/>
        <s v="30-12-2026"/>
        <s v="31-12-2026"/>
      </sharedItems>
    </cacheField>
    <cacheField name="Order ID3" numFmtId="0">
      <sharedItems/>
    </cacheField>
    <cacheField name="Product" numFmtId="0">
      <sharedItems count="8">
        <s v="Laptop"/>
        <s v="Mouse"/>
        <s v="Monitor"/>
        <s v="Webcam"/>
        <s v="Printer"/>
        <s v="Router"/>
        <s v="Keyboard"/>
        <s v="SSD"/>
      </sharedItems>
    </cacheField>
    <cacheField name="Category" numFmtId="0">
      <sharedItems count="4">
        <s v="Electronics"/>
        <s v="Accessories"/>
        <s v="Networking"/>
        <s v="Storage"/>
      </sharedItems>
    </cacheField>
    <cacheField name="Region" numFmtId="0">
      <sharedItems count="4">
        <s v="West"/>
        <s v="North"/>
        <s v="East"/>
        <s v="South"/>
      </sharedItems>
    </cacheField>
    <cacheField name="Salesperson" numFmtId="0">
      <sharedItems count="5">
        <s v="Priya"/>
        <s v="Ravi"/>
        <s v="Kiran"/>
        <s v="Anita"/>
        <s v="Suresh"/>
      </sharedItems>
    </cacheField>
    <cacheField name="Qty" numFmtId="0">
      <sharedItems containsSemiMixedTypes="0" containsString="0" containsNumber="1" containsInteger="1" minValue="1" maxValue="10"/>
    </cacheField>
    <cacheField name="Unit Price" numFmtId="0">
      <sharedItems containsSemiMixedTypes="0" containsString="0" containsNumber="1" containsInteger="1" minValue="800" maxValue="50000"/>
    </cacheField>
    <cacheField name="Sales" numFmtId="0">
      <sharedItems containsSemiMixedTypes="0" containsString="0" containsNumber="1" containsInteger="1" minValue="800" maxValue="500000"/>
    </cacheField>
    <cacheField name="Cost" numFmtId="0">
      <sharedItems containsSemiMixedTypes="0" containsString="0" containsNumber="1" containsInteger="1" minValue="656" maxValue="410000"/>
    </cacheField>
    <cacheField name="Profit" numFmtId="0">
      <sharedItems containsSemiMixedTypes="0" containsString="0" containsNumber="1" containsInteger="1" minValue="144" maxValue="90000"/>
    </cacheField>
  </cacheFields>
  <extLst>
    <ext xmlns:x14="http://schemas.microsoft.com/office/spreadsheetml/2009/9/main" uri="{725AE2AE-9491-48be-B2B4-4EB974FC3084}">
      <x14:pivotCacheDefinition pivotCacheId="941828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x v="0"/>
    <s v="Customer_0001"/>
    <x v="0"/>
    <x v="0"/>
    <x v="0"/>
    <x v="0"/>
    <n v="7"/>
    <n v="50000"/>
    <n v="350000"/>
    <n v="287000"/>
    <n v="63000"/>
  </r>
  <r>
    <s v="ORD0002"/>
    <x v="1"/>
    <s v="Customer_0002"/>
    <x v="0"/>
    <x v="0"/>
    <x v="0"/>
    <x v="1"/>
    <n v="5"/>
    <n v="50000"/>
    <n v="250000"/>
    <n v="205000"/>
    <n v="45000"/>
  </r>
  <r>
    <s v="ORD0003"/>
    <x v="2"/>
    <s v="Customer_0003"/>
    <x v="1"/>
    <x v="1"/>
    <x v="1"/>
    <x v="2"/>
    <n v="9"/>
    <n v="800"/>
    <n v="7200"/>
    <n v="5904"/>
    <n v="1296"/>
  </r>
  <r>
    <s v="ORD0004"/>
    <x v="3"/>
    <s v="Customer_0004"/>
    <x v="2"/>
    <x v="0"/>
    <x v="0"/>
    <x v="1"/>
    <n v="2"/>
    <n v="12000"/>
    <n v="24000"/>
    <n v="19680"/>
    <n v="4320"/>
  </r>
  <r>
    <s v="ORD0005"/>
    <x v="4"/>
    <s v="Customer_0005"/>
    <x v="3"/>
    <x v="1"/>
    <x v="0"/>
    <x v="1"/>
    <n v="3"/>
    <n v="3000"/>
    <n v="9000"/>
    <n v="7380"/>
    <n v="1620"/>
  </r>
  <r>
    <s v="ORD0006"/>
    <x v="5"/>
    <s v="Customer_0006"/>
    <x v="3"/>
    <x v="1"/>
    <x v="2"/>
    <x v="2"/>
    <n v="4"/>
    <n v="3000"/>
    <n v="12000"/>
    <n v="9840"/>
    <n v="2160"/>
  </r>
  <r>
    <s v="ORD0007"/>
    <x v="6"/>
    <s v="Customer_0007"/>
    <x v="4"/>
    <x v="0"/>
    <x v="2"/>
    <x v="3"/>
    <n v="6"/>
    <n v="15000"/>
    <n v="90000"/>
    <n v="73800"/>
    <n v="16200"/>
  </r>
  <r>
    <s v="ORD0008"/>
    <x v="7"/>
    <s v="Customer_0008"/>
    <x v="0"/>
    <x v="0"/>
    <x v="2"/>
    <x v="2"/>
    <n v="3"/>
    <n v="50000"/>
    <n v="150000"/>
    <n v="122999"/>
    <n v="27001"/>
  </r>
  <r>
    <s v="ORD0009"/>
    <x v="8"/>
    <s v="Customer_0009"/>
    <x v="5"/>
    <x v="2"/>
    <x v="3"/>
    <x v="3"/>
    <n v="2"/>
    <n v="2200"/>
    <n v="4400"/>
    <n v="3608"/>
    <n v="792"/>
  </r>
  <r>
    <s v="ORD0010"/>
    <x v="9"/>
    <s v="Customer_0010"/>
    <x v="1"/>
    <x v="1"/>
    <x v="0"/>
    <x v="1"/>
    <n v="1"/>
    <n v="800"/>
    <n v="800"/>
    <n v="656"/>
    <n v="144"/>
  </r>
  <r>
    <s v="ORD0011"/>
    <x v="10"/>
    <s v="Customer_0011"/>
    <x v="6"/>
    <x v="1"/>
    <x v="1"/>
    <x v="0"/>
    <n v="10"/>
    <n v="1500"/>
    <n v="15000"/>
    <n v="12300"/>
    <n v="2700"/>
  </r>
  <r>
    <s v="ORD0012"/>
    <x v="11"/>
    <s v="Customer_0012"/>
    <x v="4"/>
    <x v="0"/>
    <x v="2"/>
    <x v="0"/>
    <n v="7"/>
    <n v="15000"/>
    <n v="105000"/>
    <n v="86100"/>
    <n v="18900"/>
  </r>
  <r>
    <s v="ORD0013"/>
    <x v="12"/>
    <s v="Customer_0013"/>
    <x v="1"/>
    <x v="1"/>
    <x v="3"/>
    <x v="3"/>
    <n v="3"/>
    <n v="800"/>
    <n v="2400"/>
    <n v="1967"/>
    <n v="433"/>
  </r>
  <r>
    <s v="ORD0014"/>
    <x v="13"/>
    <s v="Customer_0014"/>
    <x v="3"/>
    <x v="1"/>
    <x v="1"/>
    <x v="3"/>
    <n v="10"/>
    <n v="3000"/>
    <n v="30000"/>
    <n v="24600"/>
    <n v="5400"/>
  </r>
  <r>
    <s v="ORD0015"/>
    <x v="14"/>
    <s v="Customer_0015"/>
    <x v="0"/>
    <x v="0"/>
    <x v="0"/>
    <x v="0"/>
    <n v="5"/>
    <n v="50000"/>
    <n v="250000"/>
    <n v="205000"/>
    <n v="45000"/>
  </r>
  <r>
    <s v="ORD0016"/>
    <x v="15"/>
    <s v="Customer_0016"/>
    <x v="5"/>
    <x v="2"/>
    <x v="0"/>
    <x v="0"/>
    <n v="6"/>
    <n v="2200"/>
    <n v="13200"/>
    <n v="10824"/>
    <n v="2376"/>
  </r>
  <r>
    <s v="ORD0017"/>
    <x v="16"/>
    <s v="Customer_0017"/>
    <x v="4"/>
    <x v="0"/>
    <x v="0"/>
    <x v="2"/>
    <n v="6"/>
    <n v="15000"/>
    <n v="90000"/>
    <n v="73800"/>
    <n v="16200"/>
  </r>
  <r>
    <s v="ORD0018"/>
    <x v="17"/>
    <s v="Customer_0018"/>
    <x v="5"/>
    <x v="2"/>
    <x v="1"/>
    <x v="3"/>
    <n v="3"/>
    <n v="2200"/>
    <n v="6600"/>
    <n v="5412"/>
    <n v="1188"/>
  </r>
  <r>
    <s v="ORD0019"/>
    <x v="18"/>
    <s v="Customer_0019"/>
    <x v="3"/>
    <x v="1"/>
    <x v="3"/>
    <x v="4"/>
    <n v="4"/>
    <n v="3000"/>
    <n v="12000"/>
    <n v="9840"/>
    <n v="2160"/>
  </r>
  <r>
    <s v="ORD0020"/>
    <x v="19"/>
    <s v="Customer_0020"/>
    <x v="0"/>
    <x v="0"/>
    <x v="2"/>
    <x v="4"/>
    <n v="6"/>
    <n v="50000"/>
    <n v="300000"/>
    <n v="245999"/>
    <n v="54001"/>
  </r>
  <r>
    <s v="ORD0021"/>
    <x v="20"/>
    <s v="Customer_0021"/>
    <x v="5"/>
    <x v="2"/>
    <x v="2"/>
    <x v="0"/>
    <n v="1"/>
    <n v="2200"/>
    <n v="2200"/>
    <n v="1804"/>
    <n v="396"/>
  </r>
  <r>
    <s v="ORD0022"/>
    <x v="21"/>
    <s v="Customer_0022"/>
    <x v="6"/>
    <x v="1"/>
    <x v="0"/>
    <x v="1"/>
    <n v="1"/>
    <n v="1500"/>
    <n v="1500"/>
    <n v="1230"/>
    <n v="270"/>
  </r>
  <r>
    <s v="ORD0023"/>
    <x v="22"/>
    <s v="Customer_0023"/>
    <x v="2"/>
    <x v="0"/>
    <x v="0"/>
    <x v="2"/>
    <n v="9"/>
    <n v="12000"/>
    <n v="108000"/>
    <n v="88560"/>
    <n v="19440"/>
  </r>
  <r>
    <s v="ORD0024"/>
    <x v="23"/>
    <s v="Customer_0024"/>
    <x v="4"/>
    <x v="0"/>
    <x v="1"/>
    <x v="3"/>
    <n v="2"/>
    <n v="15000"/>
    <n v="30000"/>
    <n v="24600"/>
    <n v="5400"/>
  </r>
  <r>
    <s v="ORD0025"/>
    <x v="24"/>
    <s v="Customer_0025"/>
    <x v="3"/>
    <x v="1"/>
    <x v="0"/>
    <x v="1"/>
    <n v="8"/>
    <n v="3000"/>
    <n v="24000"/>
    <n v="19680"/>
    <n v="4320"/>
  </r>
  <r>
    <s v="ORD0026"/>
    <x v="25"/>
    <s v="Customer_0026"/>
    <x v="7"/>
    <x v="3"/>
    <x v="2"/>
    <x v="0"/>
    <n v="2"/>
    <n v="6500"/>
    <n v="13000"/>
    <n v="10660"/>
    <n v="2340"/>
  </r>
  <r>
    <s v="ORD0027"/>
    <x v="26"/>
    <s v="Customer_0027"/>
    <x v="4"/>
    <x v="0"/>
    <x v="0"/>
    <x v="3"/>
    <n v="9"/>
    <n v="15000"/>
    <n v="135000"/>
    <n v="110700"/>
    <n v="24300"/>
  </r>
  <r>
    <s v="ORD0028"/>
    <x v="27"/>
    <s v="Customer_0028"/>
    <x v="1"/>
    <x v="1"/>
    <x v="1"/>
    <x v="4"/>
    <n v="10"/>
    <n v="800"/>
    <n v="8000"/>
    <n v="6560"/>
    <n v="1440"/>
  </r>
  <r>
    <s v="ORD0029"/>
    <x v="28"/>
    <s v="Customer_0029"/>
    <x v="0"/>
    <x v="0"/>
    <x v="1"/>
    <x v="0"/>
    <n v="2"/>
    <n v="50000"/>
    <n v="100000"/>
    <n v="82000"/>
    <n v="18000"/>
  </r>
  <r>
    <s v="ORD0030"/>
    <x v="29"/>
    <s v="Customer_0030"/>
    <x v="1"/>
    <x v="1"/>
    <x v="1"/>
    <x v="3"/>
    <n v="4"/>
    <n v="800"/>
    <n v="3200"/>
    <n v="2624"/>
    <n v="576"/>
  </r>
  <r>
    <s v="ORD0031"/>
    <x v="30"/>
    <s v="Customer_0031"/>
    <x v="3"/>
    <x v="1"/>
    <x v="1"/>
    <x v="2"/>
    <n v="8"/>
    <n v="3000"/>
    <n v="24000"/>
    <n v="19680"/>
    <n v="4320"/>
  </r>
  <r>
    <s v="ORD0032"/>
    <x v="31"/>
    <s v="Customer_0032"/>
    <x v="1"/>
    <x v="1"/>
    <x v="2"/>
    <x v="2"/>
    <n v="2"/>
    <n v="800"/>
    <n v="1600"/>
    <n v="1312"/>
    <n v="288"/>
  </r>
  <r>
    <s v="ORD0033"/>
    <x v="32"/>
    <s v="Customer_0033"/>
    <x v="4"/>
    <x v="0"/>
    <x v="3"/>
    <x v="0"/>
    <n v="5"/>
    <n v="15000"/>
    <n v="75000"/>
    <n v="61499"/>
    <n v="13501"/>
  </r>
  <r>
    <s v="ORD0034"/>
    <x v="33"/>
    <s v="Customer_0034"/>
    <x v="1"/>
    <x v="1"/>
    <x v="0"/>
    <x v="0"/>
    <n v="6"/>
    <n v="800"/>
    <n v="4800"/>
    <n v="3935"/>
    <n v="865"/>
  </r>
  <r>
    <s v="ORD0035"/>
    <x v="34"/>
    <s v="Customer_0035"/>
    <x v="3"/>
    <x v="1"/>
    <x v="3"/>
    <x v="4"/>
    <n v="2"/>
    <n v="3000"/>
    <n v="6000"/>
    <n v="4920"/>
    <n v="1080"/>
  </r>
  <r>
    <s v="ORD0036"/>
    <x v="35"/>
    <s v="Customer_0036"/>
    <x v="3"/>
    <x v="1"/>
    <x v="0"/>
    <x v="3"/>
    <n v="8"/>
    <n v="3000"/>
    <n v="24000"/>
    <n v="19680"/>
    <n v="4320"/>
  </r>
  <r>
    <s v="ORD0037"/>
    <x v="36"/>
    <s v="Customer_0037"/>
    <x v="6"/>
    <x v="1"/>
    <x v="1"/>
    <x v="3"/>
    <n v="5"/>
    <n v="1500"/>
    <n v="7500"/>
    <n v="6150"/>
    <n v="1350"/>
  </r>
  <r>
    <s v="ORD0038"/>
    <x v="37"/>
    <s v="Customer_0038"/>
    <x v="2"/>
    <x v="0"/>
    <x v="3"/>
    <x v="0"/>
    <n v="10"/>
    <n v="12000"/>
    <n v="120000"/>
    <n v="98400"/>
    <n v="21600"/>
  </r>
  <r>
    <s v="ORD0039"/>
    <x v="38"/>
    <s v="Customer_0039"/>
    <x v="7"/>
    <x v="3"/>
    <x v="0"/>
    <x v="0"/>
    <n v="6"/>
    <n v="6500"/>
    <n v="39000"/>
    <n v="31979"/>
    <n v="7021"/>
  </r>
  <r>
    <s v="ORD0040"/>
    <x v="39"/>
    <s v="Customer_0040"/>
    <x v="6"/>
    <x v="1"/>
    <x v="1"/>
    <x v="1"/>
    <n v="2"/>
    <n v="1500"/>
    <n v="3000"/>
    <n v="2460"/>
    <n v="540"/>
  </r>
  <r>
    <s v="ORD0041"/>
    <x v="40"/>
    <s v="Customer_0041"/>
    <x v="0"/>
    <x v="0"/>
    <x v="1"/>
    <x v="4"/>
    <n v="8"/>
    <n v="50000"/>
    <n v="400000"/>
    <n v="328000"/>
    <n v="72000"/>
  </r>
  <r>
    <s v="ORD0042"/>
    <x v="41"/>
    <s v="Customer_0042"/>
    <x v="7"/>
    <x v="3"/>
    <x v="2"/>
    <x v="0"/>
    <n v="1"/>
    <n v="6500"/>
    <n v="6500"/>
    <n v="5330"/>
    <n v="1170"/>
  </r>
  <r>
    <s v="ORD0043"/>
    <x v="42"/>
    <s v="Customer_0043"/>
    <x v="0"/>
    <x v="0"/>
    <x v="0"/>
    <x v="1"/>
    <n v="8"/>
    <n v="50000"/>
    <n v="400000"/>
    <n v="328000"/>
    <n v="72000"/>
  </r>
  <r>
    <s v="ORD0044"/>
    <x v="43"/>
    <s v="Customer_0044"/>
    <x v="2"/>
    <x v="0"/>
    <x v="2"/>
    <x v="1"/>
    <n v="10"/>
    <n v="12000"/>
    <n v="120000"/>
    <n v="98400"/>
    <n v="21600"/>
  </r>
  <r>
    <s v="ORD0045"/>
    <x v="44"/>
    <s v="Customer_0045"/>
    <x v="3"/>
    <x v="1"/>
    <x v="3"/>
    <x v="2"/>
    <n v="10"/>
    <n v="3000"/>
    <n v="30000"/>
    <n v="24600"/>
    <n v="5400"/>
  </r>
  <r>
    <s v="ORD0046"/>
    <x v="45"/>
    <s v="Customer_0046"/>
    <x v="3"/>
    <x v="1"/>
    <x v="2"/>
    <x v="1"/>
    <n v="10"/>
    <n v="3000"/>
    <n v="30000"/>
    <n v="24600"/>
    <n v="5400"/>
  </r>
  <r>
    <s v="ORD0047"/>
    <x v="46"/>
    <s v="Customer_0047"/>
    <x v="2"/>
    <x v="0"/>
    <x v="1"/>
    <x v="4"/>
    <n v="9"/>
    <n v="12000"/>
    <n v="108000"/>
    <n v="88560"/>
    <n v="19440"/>
  </r>
  <r>
    <s v="ORD0048"/>
    <x v="47"/>
    <s v="Customer_0048"/>
    <x v="3"/>
    <x v="1"/>
    <x v="0"/>
    <x v="1"/>
    <n v="2"/>
    <n v="3000"/>
    <n v="6000"/>
    <n v="4920"/>
    <n v="1080"/>
  </r>
  <r>
    <s v="ORD0049"/>
    <x v="48"/>
    <s v="Customer_0049"/>
    <x v="0"/>
    <x v="0"/>
    <x v="0"/>
    <x v="3"/>
    <n v="3"/>
    <n v="50000"/>
    <n v="150000"/>
    <n v="122999"/>
    <n v="27001"/>
  </r>
  <r>
    <s v="ORD0050"/>
    <x v="49"/>
    <s v="Customer_0050"/>
    <x v="6"/>
    <x v="1"/>
    <x v="2"/>
    <x v="0"/>
    <n v="10"/>
    <n v="1500"/>
    <n v="15000"/>
    <n v="12300"/>
    <n v="2700"/>
  </r>
  <r>
    <s v="ORD0051"/>
    <x v="50"/>
    <s v="Customer_0051"/>
    <x v="1"/>
    <x v="1"/>
    <x v="3"/>
    <x v="0"/>
    <n v="4"/>
    <n v="800"/>
    <n v="3200"/>
    <n v="2624"/>
    <n v="576"/>
  </r>
  <r>
    <s v="ORD0052"/>
    <x v="51"/>
    <s v="Customer_0052"/>
    <x v="3"/>
    <x v="1"/>
    <x v="3"/>
    <x v="0"/>
    <n v="10"/>
    <n v="3000"/>
    <n v="30000"/>
    <n v="24600"/>
    <n v="5400"/>
  </r>
  <r>
    <s v="ORD0053"/>
    <x v="52"/>
    <s v="Customer_0053"/>
    <x v="3"/>
    <x v="1"/>
    <x v="1"/>
    <x v="3"/>
    <n v="8"/>
    <n v="3000"/>
    <n v="24000"/>
    <n v="19680"/>
    <n v="4320"/>
  </r>
  <r>
    <s v="ORD0054"/>
    <x v="53"/>
    <s v="Customer_0054"/>
    <x v="2"/>
    <x v="0"/>
    <x v="2"/>
    <x v="3"/>
    <n v="10"/>
    <n v="12000"/>
    <n v="120000"/>
    <n v="98400"/>
    <n v="21600"/>
  </r>
  <r>
    <s v="ORD0055"/>
    <x v="54"/>
    <s v="Customer_0055"/>
    <x v="6"/>
    <x v="1"/>
    <x v="1"/>
    <x v="0"/>
    <n v="8"/>
    <n v="1500"/>
    <n v="12000"/>
    <n v="9840"/>
    <n v="2160"/>
  </r>
  <r>
    <s v="ORD0056"/>
    <x v="55"/>
    <s v="Customer_0056"/>
    <x v="4"/>
    <x v="0"/>
    <x v="1"/>
    <x v="1"/>
    <n v="8"/>
    <n v="15000"/>
    <n v="120000"/>
    <n v="98400"/>
    <n v="21600"/>
  </r>
  <r>
    <s v="ORD0057"/>
    <x v="56"/>
    <s v="Customer_0057"/>
    <x v="7"/>
    <x v="3"/>
    <x v="0"/>
    <x v="4"/>
    <n v="5"/>
    <n v="6500"/>
    <n v="32500"/>
    <n v="26650"/>
    <n v="5850"/>
  </r>
  <r>
    <s v="ORD0058"/>
    <x v="57"/>
    <s v="Customer_0058"/>
    <x v="4"/>
    <x v="0"/>
    <x v="0"/>
    <x v="3"/>
    <n v="3"/>
    <n v="15000"/>
    <n v="45000"/>
    <n v="36900"/>
    <n v="8100"/>
  </r>
  <r>
    <s v="ORD0059"/>
    <x v="58"/>
    <s v="Customer_0059"/>
    <x v="7"/>
    <x v="3"/>
    <x v="0"/>
    <x v="2"/>
    <n v="3"/>
    <n v="6500"/>
    <n v="19500"/>
    <n v="15989"/>
    <n v="3511"/>
  </r>
  <r>
    <s v="ORD0060"/>
    <x v="59"/>
    <s v="Customer_0060"/>
    <x v="2"/>
    <x v="0"/>
    <x v="3"/>
    <x v="0"/>
    <n v="5"/>
    <n v="12000"/>
    <n v="60000"/>
    <n v="49200"/>
    <n v="10800"/>
  </r>
  <r>
    <s v="ORD0061"/>
    <x v="60"/>
    <s v="Customer_0061"/>
    <x v="5"/>
    <x v="2"/>
    <x v="2"/>
    <x v="1"/>
    <n v="10"/>
    <n v="2200"/>
    <n v="22000"/>
    <n v="18040"/>
    <n v="3960"/>
  </r>
  <r>
    <s v="ORD0062"/>
    <x v="61"/>
    <s v="Customer_0062"/>
    <x v="4"/>
    <x v="0"/>
    <x v="3"/>
    <x v="1"/>
    <n v="3"/>
    <n v="15000"/>
    <n v="45000"/>
    <n v="36900"/>
    <n v="8100"/>
  </r>
  <r>
    <s v="ORD0063"/>
    <x v="62"/>
    <s v="Customer_0063"/>
    <x v="6"/>
    <x v="1"/>
    <x v="3"/>
    <x v="1"/>
    <n v="3"/>
    <n v="1500"/>
    <n v="4500"/>
    <n v="3690"/>
    <n v="810"/>
  </r>
  <r>
    <s v="ORD0064"/>
    <x v="63"/>
    <s v="Customer_0064"/>
    <x v="3"/>
    <x v="1"/>
    <x v="1"/>
    <x v="4"/>
    <n v="5"/>
    <n v="3000"/>
    <n v="15000"/>
    <n v="12300"/>
    <n v="2700"/>
  </r>
  <r>
    <s v="ORD0065"/>
    <x v="64"/>
    <s v="Customer_0065"/>
    <x v="2"/>
    <x v="0"/>
    <x v="3"/>
    <x v="0"/>
    <n v="3"/>
    <n v="12000"/>
    <n v="36000"/>
    <n v="29520"/>
    <n v="6480"/>
  </r>
  <r>
    <s v="ORD0066"/>
    <x v="65"/>
    <s v="Customer_0066"/>
    <x v="0"/>
    <x v="0"/>
    <x v="1"/>
    <x v="4"/>
    <n v="6"/>
    <n v="50000"/>
    <n v="300000"/>
    <n v="245999"/>
    <n v="54001"/>
  </r>
  <r>
    <s v="ORD0067"/>
    <x v="66"/>
    <s v="Customer_0067"/>
    <x v="1"/>
    <x v="1"/>
    <x v="0"/>
    <x v="4"/>
    <n v="4"/>
    <n v="800"/>
    <n v="3200"/>
    <n v="2624"/>
    <n v="576"/>
  </r>
  <r>
    <s v="ORD0068"/>
    <x v="67"/>
    <s v="Customer_0068"/>
    <x v="7"/>
    <x v="3"/>
    <x v="3"/>
    <x v="1"/>
    <n v="10"/>
    <n v="6500"/>
    <n v="65000"/>
    <n v="53300"/>
    <n v="11700"/>
  </r>
  <r>
    <s v="ORD0069"/>
    <x v="68"/>
    <s v="Customer_0069"/>
    <x v="2"/>
    <x v="0"/>
    <x v="0"/>
    <x v="4"/>
    <n v="1"/>
    <n v="12000"/>
    <n v="12000"/>
    <n v="9840"/>
    <n v="2160"/>
  </r>
  <r>
    <s v="ORD0070"/>
    <x v="69"/>
    <s v="Customer_0070"/>
    <x v="2"/>
    <x v="0"/>
    <x v="1"/>
    <x v="0"/>
    <n v="3"/>
    <n v="12000"/>
    <n v="36000"/>
    <n v="29520"/>
    <n v="6480"/>
  </r>
  <r>
    <s v="ORD0071"/>
    <x v="70"/>
    <s v="Customer_0071"/>
    <x v="6"/>
    <x v="1"/>
    <x v="1"/>
    <x v="0"/>
    <n v="2"/>
    <n v="1500"/>
    <n v="3000"/>
    <n v="2460"/>
    <n v="540"/>
  </r>
  <r>
    <s v="ORD0072"/>
    <x v="71"/>
    <s v="Customer_0072"/>
    <x v="7"/>
    <x v="3"/>
    <x v="2"/>
    <x v="4"/>
    <n v="1"/>
    <n v="6500"/>
    <n v="6500"/>
    <n v="5330"/>
    <n v="1170"/>
  </r>
  <r>
    <s v="ORD0073"/>
    <x v="72"/>
    <s v="Customer_0073"/>
    <x v="4"/>
    <x v="0"/>
    <x v="1"/>
    <x v="3"/>
    <n v="4"/>
    <n v="15000"/>
    <n v="60000"/>
    <n v="49200"/>
    <n v="10800"/>
  </r>
  <r>
    <s v="ORD0074"/>
    <x v="73"/>
    <s v="Customer_0074"/>
    <x v="7"/>
    <x v="3"/>
    <x v="3"/>
    <x v="0"/>
    <n v="5"/>
    <n v="6500"/>
    <n v="32500"/>
    <n v="26650"/>
    <n v="5850"/>
  </r>
  <r>
    <s v="ORD0075"/>
    <x v="74"/>
    <s v="Customer_0075"/>
    <x v="0"/>
    <x v="0"/>
    <x v="2"/>
    <x v="1"/>
    <n v="1"/>
    <n v="50000"/>
    <n v="50000"/>
    <n v="41000"/>
    <n v="9000"/>
  </r>
  <r>
    <s v="ORD0076"/>
    <x v="75"/>
    <s v="Customer_0076"/>
    <x v="3"/>
    <x v="1"/>
    <x v="3"/>
    <x v="3"/>
    <n v="3"/>
    <n v="3000"/>
    <n v="9000"/>
    <n v="7380"/>
    <n v="1620"/>
  </r>
  <r>
    <s v="ORD0077"/>
    <x v="76"/>
    <s v="Customer_0077"/>
    <x v="2"/>
    <x v="0"/>
    <x v="1"/>
    <x v="1"/>
    <n v="8"/>
    <n v="12000"/>
    <n v="96000"/>
    <n v="78720"/>
    <n v="17280"/>
  </r>
  <r>
    <s v="ORD0078"/>
    <x v="77"/>
    <s v="Customer_0078"/>
    <x v="5"/>
    <x v="2"/>
    <x v="2"/>
    <x v="2"/>
    <n v="1"/>
    <n v="2200"/>
    <n v="2200"/>
    <n v="1804"/>
    <n v="396"/>
  </r>
  <r>
    <s v="ORD0079"/>
    <x v="78"/>
    <s v="Customer_0079"/>
    <x v="1"/>
    <x v="1"/>
    <x v="1"/>
    <x v="2"/>
    <n v="1"/>
    <n v="800"/>
    <n v="800"/>
    <n v="656"/>
    <n v="144"/>
  </r>
  <r>
    <s v="ORD0080"/>
    <x v="79"/>
    <s v="Customer_0080"/>
    <x v="0"/>
    <x v="0"/>
    <x v="3"/>
    <x v="2"/>
    <n v="7"/>
    <n v="50000"/>
    <n v="350000"/>
    <n v="287000"/>
    <n v="63000"/>
  </r>
  <r>
    <s v="ORD0081"/>
    <x v="80"/>
    <s v="Customer_0081"/>
    <x v="3"/>
    <x v="1"/>
    <x v="2"/>
    <x v="0"/>
    <n v="4"/>
    <n v="3000"/>
    <n v="12000"/>
    <n v="9840"/>
    <n v="2160"/>
  </r>
  <r>
    <s v="ORD0082"/>
    <x v="81"/>
    <s v="Customer_0082"/>
    <x v="5"/>
    <x v="2"/>
    <x v="3"/>
    <x v="0"/>
    <n v="4"/>
    <n v="2200"/>
    <n v="8800"/>
    <n v="7216"/>
    <n v="1584"/>
  </r>
  <r>
    <s v="ORD0083"/>
    <x v="82"/>
    <s v="Customer_0083"/>
    <x v="6"/>
    <x v="1"/>
    <x v="2"/>
    <x v="4"/>
    <n v="1"/>
    <n v="1500"/>
    <n v="1500"/>
    <n v="1230"/>
    <n v="270"/>
  </r>
  <r>
    <s v="ORD0084"/>
    <x v="83"/>
    <s v="Customer_0084"/>
    <x v="1"/>
    <x v="1"/>
    <x v="1"/>
    <x v="1"/>
    <n v="3"/>
    <n v="800"/>
    <n v="2400"/>
    <n v="1967"/>
    <n v="433"/>
  </r>
  <r>
    <s v="ORD0085"/>
    <x v="84"/>
    <s v="Customer_0085"/>
    <x v="6"/>
    <x v="1"/>
    <x v="2"/>
    <x v="2"/>
    <n v="3"/>
    <n v="1500"/>
    <n v="4500"/>
    <n v="3690"/>
    <n v="810"/>
  </r>
  <r>
    <s v="ORD0086"/>
    <x v="85"/>
    <s v="Customer_0086"/>
    <x v="2"/>
    <x v="0"/>
    <x v="3"/>
    <x v="1"/>
    <n v="3"/>
    <n v="12000"/>
    <n v="36000"/>
    <n v="29520"/>
    <n v="6480"/>
  </r>
  <r>
    <s v="ORD0087"/>
    <x v="86"/>
    <s v="Customer_0087"/>
    <x v="3"/>
    <x v="1"/>
    <x v="1"/>
    <x v="4"/>
    <n v="7"/>
    <n v="3000"/>
    <n v="21000"/>
    <n v="17220"/>
    <n v="3780"/>
  </r>
  <r>
    <s v="ORD0088"/>
    <x v="87"/>
    <s v="Customer_0088"/>
    <x v="3"/>
    <x v="1"/>
    <x v="1"/>
    <x v="2"/>
    <n v="9"/>
    <n v="3000"/>
    <n v="27000"/>
    <n v="22140"/>
    <n v="4860"/>
  </r>
  <r>
    <s v="ORD0089"/>
    <x v="88"/>
    <s v="Customer_0089"/>
    <x v="7"/>
    <x v="3"/>
    <x v="1"/>
    <x v="0"/>
    <n v="8"/>
    <n v="6500"/>
    <n v="52000"/>
    <n v="42640"/>
    <n v="9360"/>
  </r>
  <r>
    <s v="ORD0090"/>
    <x v="89"/>
    <s v="Customer_0090"/>
    <x v="7"/>
    <x v="3"/>
    <x v="3"/>
    <x v="1"/>
    <n v="7"/>
    <n v="6500"/>
    <n v="45500"/>
    <n v="37310"/>
    <n v="8190"/>
  </r>
  <r>
    <s v="ORD0091"/>
    <x v="90"/>
    <s v="Customer_0091"/>
    <x v="0"/>
    <x v="0"/>
    <x v="0"/>
    <x v="1"/>
    <n v="3"/>
    <n v="50000"/>
    <n v="150000"/>
    <n v="122999"/>
    <n v="27001"/>
  </r>
  <r>
    <s v="ORD0092"/>
    <x v="91"/>
    <s v="Customer_0092"/>
    <x v="0"/>
    <x v="0"/>
    <x v="1"/>
    <x v="3"/>
    <n v="2"/>
    <n v="50000"/>
    <n v="100000"/>
    <n v="82000"/>
    <n v="18000"/>
  </r>
  <r>
    <s v="ORD0093"/>
    <x v="92"/>
    <s v="Customer_0093"/>
    <x v="4"/>
    <x v="0"/>
    <x v="0"/>
    <x v="2"/>
    <n v="7"/>
    <n v="15000"/>
    <n v="105000"/>
    <n v="86100"/>
    <n v="18900"/>
  </r>
  <r>
    <s v="ORD0094"/>
    <x v="93"/>
    <s v="Customer_0094"/>
    <x v="5"/>
    <x v="2"/>
    <x v="1"/>
    <x v="3"/>
    <n v="2"/>
    <n v="2200"/>
    <n v="4400"/>
    <n v="3608"/>
    <n v="792"/>
  </r>
  <r>
    <s v="ORD0095"/>
    <x v="94"/>
    <s v="Customer_0095"/>
    <x v="3"/>
    <x v="1"/>
    <x v="2"/>
    <x v="3"/>
    <n v="3"/>
    <n v="3000"/>
    <n v="9000"/>
    <n v="7380"/>
    <n v="1620"/>
  </r>
  <r>
    <s v="ORD0096"/>
    <x v="95"/>
    <s v="Customer_0096"/>
    <x v="0"/>
    <x v="0"/>
    <x v="3"/>
    <x v="1"/>
    <n v="6"/>
    <n v="50000"/>
    <n v="300000"/>
    <n v="245999"/>
    <n v="54001"/>
  </r>
  <r>
    <s v="ORD0097"/>
    <x v="96"/>
    <s v="Customer_0097"/>
    <x v="0"/>
    <x v="0"/>
    <x v="3"/>
    <x v="4"/>
    <n v="6"/>
    <n v="50000"/>
    <n v="300000"/>
    <n v="245999"/>
    <n v="54001"/>
  </r>
  <r>
    <s v="ORD0098"/>
    <x v="97"/>
    <s v="Customer_0098"/>
    <x v="7"/>
    <x v="3"/>
    <x v="0"/>
    <x v="4"/>
    <n v="7"/>
    <n v="6500"/>
    <n v="45500"/>
    <n v="37310"/>
    <n v="8190"/>
  </r>
  <r>
    <s v="ORD0099"/>
    <x v="98"/>
    <s v="Customer_0099"/>
    <x v="5"/>
    <x v="2"/>
    <x v="3"/>
    <x v="2"/>
    <n v="4"/>
    <n v="2200"/>
    <n v="8800"/>
    <n v="7216"/>
    <n v="1584"/>
  </r>
  <r>
    <s v="ORD0100"/>
    <x v="99"/>
    <s v="Customer_0100"/>
    <x v="7"/>
    <x v="3"/>
    <x v="3"/>
    <x v="4"/>
    <n v="1"/>
    <n v="6500"/>
    <n v="6500"/>
    <n v="5330"/>
    <n v="1170"/>
  </r>
  <r>
    <s v="ORD0101"/>
    <x v="100"/>
    <s v="Customer_0101"/>
    <x v="1"/>
    <x v="1"/>
    <x v="2"/>
    <x v="2"/>
    <n v="7"/>
    <n v="800"/>
    <n v="5600"/>
    <n v="4592"/>
    <n v="1008"/>
  </r>
  <r>
    <s v="ORD0102"/>
    <x v="101"/>
    <s v="Customer_0102"/>
    <x v="1"/>
    <x v="1"/>
    <x v="3"/>
    <x v="0"/>
    <n v="7"/>
    <n v="800"/>
    <n v="5600"/>
    <n v="4592"/>
    <n v="1008"/>
  </r>
  <r>
    <s v="ORD0103"/>
    <x v="102"/>
    <s v="Customer_0103"/>
    <x v="0"/>
    <x v="0"/>
    <x v="1"/>
    <x v="0"/>
    <n v="10"/>
    <n v="50000"/>
    <n v="500000"/>
    <n v="410000"/>
    <n v="90000"/>
  </r>
  <r>
    <s v="ORD0104"/>
    <x v="103"/>
    <s v="Customer_0104"/>
    <x v="4"/>
    <x v="0"/>
    <x v="3"/>
    <x v="4"/>
    <n v="4"/>
    <n v="15000"/>
    <n v="60000"/>
    <n v="49200"/>
    <n v="10800"/>
  </r>
  <r>
    <s v="ORD0105"/>
    <x v="104"/>
    <s v="Customer_0105"/>
    <x v="1"/>
    <x v="1"/>
    <x v="0"/>
    <x v="0"/>
    <n v="3"/>
    <n v="800"/>
    <n v="2400"/>
    <n v="1967"/>
    <n v="433"/>
  </r>
  <r>
    <s v="ORD0106"/>
    <x v="105"/>
    <s v="Customer_0106"/>
    <x v="7"/>
    <x v="3"/>
    <x v="0"/>
    <x v="1"/>
    <n v="2"/>
    <n v="6500"/>
    <n v="13000"/>
    <n v="10660"/>
    <n v="2340"/>
  </r>
  <r>
    <s v="ORD0107"/>
    <x v="106"/>
    <s v="Customer_0107"/>
    <x v="7"/>
    <x v="3"/>
    <x v="3"/>
    <x v="3"/>
    <n v="6"/>
    <n v="6500"/>
    <n v="39000"/>
    <n v="31979"/>
    <n v="7021"/>
  </r>
  <r>
    <s v="ORD0108"/>
    <x v="107"/>
    <s v="Customer_0108"/>
    <x v="1"/>
    <x v="1"/>
    <x v="3"/>
    <x v="1"/>
    <n v="9"/>
    <n v="800"/>
    <n v="7200"/>
    <n v="5904"/>
    <n v="1296"/>
  </r>
  <r>
    <s v="ORD0109"/>
    <x v="108"/>
    <s v="Customer_0109"/>
    <x v="1"/>
    <x v="1"/>
    <x v="1"/>
    <x v="1"/>
    <n v="1"/>
    <n v="800"/>
    <n v="800"/>
    <n v="656"/>
    <n v="144"/>
  </r>
  <r>
    <s v="ORD0110"/>
    <x v="109"/>
    <s v="Customer_0110"/>
    <x v="0"/>
    <x v="0"/>
    <x v="0"/>
    <x v="4"/>
    <n v="8"/>
    <n v="50000"/>
    <n v="400000"/>
    <n v="328000"/>
    <n v="72000"/>
  </r>
  <r>
    <s v="ORD0111"/>
    <x v="110"/>
    <s v="Customer_0111"/>
    <x v="6"/>
    <x v="1"/>
    <x v="2"/>
    <x v="2"/>
    <n v="1"/>
    <n v="1500"/>
    <n v="1500"/>
    <n v="1230"/>
    <n v="270"/>
  </r>
  <r>
    <s v="ORD0112"/>
    <x v="111"/>
    <s v="Customer_0112"/>
    <x v="4"/>
    <x v="0"/>
    <x v="2"/>
    <x v="4"/>
    <n v="10"/>
    <n v="15000"/>
    <n v="150000"/>
    <n v="122999"/>
    <n v="27001"/>
  </r>
  <r>
    <s v="ORD0113"/>
    <x v="112"/>
    <s v="Customer_0113"/>
    <x v="3"/>
    <x v="1"/>
    <x v="0"/>
    <x v="2"/>
    <n v="10"/>
    <n v="3000"/>
    <n v="30000"/>
    <n v="24600"/>
    <n v="5400"/>
  </r>
  <r>
    <s v="ORD0114"/>
    <x v="113"/>
    <s v="Customer_0114"/>
    <x v="1"/>
    <x v="1"/>
    <x v="2"/>
    <x v="2"/>
    <n v="8"/>
    <n v="800"/>
    <n v="6400"/>
    <n v="5248"/>
    <n v="1152"/>
  </r>
  <r>
    <s v="ORD0115"/>
    <x v="114"/>
    <s v="Customer_0115"/>
    <x v="5"/>
    <x v="2"/>
    <x v="0"/>
    <x v="1"/>
    <n v="2"/>
    <n v="2200"/>
    <n v="4400"/>
    <n v="3608"/>
    <n v="792"/>
  </r>
  <r>
    <s v="ORD0116"/>
    <x v="115"/>
    <s v="Customer_0116"/>
    <x v="3"/>
    <x v="1"/>
    <x v="2"/>
    <x v="1"/>
    <n v="4"/>
    <n v="3000"/>
    <n v="12000"/>
    <n v="9840"/>
    <n v="2160"/>
  </r>
  <r>
    <s v="ORD0117"/>
    <x v="116"/>
    <s v="Customer_0117"/>
    <x v="4"/>
    <x v="0"/>
    <x v="3"/>
    <x v="3"/>
    <n v="2"/>
    <n v="15000"/>
    <n v="30000"/>
    <n v="24600"/>
    <n v="5400"/>
  </r>
  <r>
    <s v="ORD0118"/>
    <x v="117"/>
    <s v="Customer_0118"/>
    <x v="1"/>
    <x v="1"/>
    <x v="2"/>
    <x v="4"/>
    <n v="3"/>
    <n v="800"/>
    <n v="2400"/>
    <n v="1967"/>
    <n v="433"/>
  </r>
  <r>
    <s v="ORD0119"/>
    <x v="118"/>
    <s v="Customer_0119"/>
    <x v="3"/>
    <x v="1"/>
    <x v="3"/>
    <x v="3"/>
    <n v="9"/>
    <n v="3000"/>
    <n v="27000"/>
    <n v="22140"/>
    <n v="4860"/>
  </r>
  <r>
    <s v="ORD0120"/>
    <x v="119"/>
    <s v="Customer_0120"/>
    <x v="6"/>
    <x v="1"/>
    <x v="3"/>
    <x v="3"/>
    <n v="3"/>
    <n v="1500"/>
    <n v="4500"/>
    <n v="3690"/>
    <n v="810"/>
  </r>
  <r>
    <s v="ORD0121"/>
    <x v="120"/>
    <s v="Customer_0121"/>
    <x v="2"/>
    <x v="0"/>
    <x v="3"/>
    <x v="1"/>
    <n v="2"/>
    <n v="12000"/>
    <n v="24000"/>
    <n v="19680"/>
    <n v="4320"/>
  </r>
  <r>
    <s v="ORD0122"/>
    <x v="121"/>
    <s v="Customer_0122"/>
    <x v="6"/>
    <x v="1"/>
    <x v="1"/>
    <x v="1"/>
    <n v="9"/>
    <n v="1500"/>
    <n v="13500"/>
    <n v="11070"/>
    <n v="2430"/>
  </r>
  <r>
    <s v="ORD0123"/>
    <x v="122"/>
    <s v="Customer_0123"/>
    <x v="7"/>
    <x v="3"/>
    <x v="2"/>
    <x v="3"/>
    <n v="8"/>
    <n v="6500"/>
    <n v="52000"/>
    <n v="42640"/>
    <n v="9360"/>
  </r>
  <r>
    <s v="ORD0124"/>
    <x v="123"/>
    <s v="Customer_0124"/>
    <x v="1"/>
    <x v="1"/>
    <x v="2"/>
    <x v="1"/>
    <n v="4"/>
    <n v="800"/>
    <n v="3200"/>
    <n v="2624"/>
    <n v="576"/>
  </r>
  <r>
    <s v="ORD0125"/>
    <x v="124"/>
    <s v="Customer_0125"/>
    <x v="1"/>
    <x v="1"/>
    <x v="2"/>
    <x v="3"/>
    <n v="4"/>
    <n v="800"/>
    <n v="3200"/>
    <n v="2624"/>
    <n v="576"/>
  </r>
  <r>
    <s v="ORD0126"/>
    <x v="125"/>
    <s v="Customer_0126"/>
    <x v="5"/>
    <x v="2"/>
    <x v="0"/>
    <x v="4"/>
    <n v="7"/>
    <n v="2200"/>
    <n v="15400"/>
    <n v="12628"/>
    <n v="2772"/>
  </r>
  <r>
    <s v="ORD0127"/>
    <x v="126"/>
    <s v="Customer_0127"/>
    <x v="1"/>
    <x v="1"/>
    <x v="2"/>
    <x v="3"/>
    <n v="5"/>
    <n v="800"/>
    <n v="4000"/>
    <n v="3280"/>
    <n v="720"/>
  </r>
  <r>
    <s v="ORD0128"/>
    <x v="127"/>
    <s v="Customer_0128"/>
    <x v="1"/>
    <x v="1"/>
    <x v="1"/>
    <x v="3"/>
    <n v="6"/>
    <n v="800"/>
    <n v="4800"/>
    <n v="3935"/>
    <n v="865"/>
  </r>
  <r>
    <s v="ORD0129"/>
    <x v="128"/>
    <s v="Customer_0129"/>
    <x v="0"/>
    <x v="0"/>
    <x v="1"/>
    <x v="1"/>
    <n v="1"/>
    <n v="50000"/>
    <n v="50000"/>
    <n v="41000"/>
    <n v="9000"/>
  </r>
  <r>
    <s v="ORD0130"/>
    <x v="129"/>
    <s v="Customer_0130"/>
    <x v="6"/>
    <x v="1"/>
    <x v="0"/>
    <x v="4"/>
    <n v="5"/>
    <n v="1500"/>
    <n v="7500"/>
    <n v="6150"/>
    <n v="1350"/>
  </r>
  <r>
    <s v="ORD0131"/>
    <x v="130"/>
    <s v="Customer_0131"/>
    <x v="0"/>
    <x v="0"/>
    <x v="2"/>
    <x v="2"/>
    <n v="8"/>
    <n v="50000"/>
    <n v="400000"/>
    <n v="328000"/>
    <n v="72000"/>
  </r>
  <r>
    <s v="ORD0132"/>
    <x v="131"/>
    <s v="Customer_0132"/>
    <x v="4"/>
    <x v="0"/>
    <x v="2"/>
    <x v="4"/>
    <n v="3"/>
    <n v="15000"/>
    <n v="45000"/>
    <n v="36900"/>
    <n v="8100"/>
  </r>
  <r>
    <s v="ORD0133"/>
    <x v="132"/>
    <s v="Customer_0133"/>
    <x v="0"/>
    <x v="0"/>
    <x v="0"/>
    <x v="2"/>
    <n v="8"/>
    <n v="50000"/>
    <n v="400000"/>
    <n v="328000"/>
    <n v="72000"/>
  </r>
  <r>
    <s v="ORD0134"/>
    <x v="133"/>
    <s v="Customer_0134"/>
    <x v="0"/>
    <x v="0"/>
    <x v="2"/>
    <x v="0"/>
    <n v="2"/>
    <n v="50000"/>
    <n v="100000"/>
    <n v="82000"/>
    <n v="18000"/>
  </r>
  <r>
    <s v="ORD0135"/>
    <x v="134"/>
    <s v="Customer_0135"/>
    <x v="5"/>
    <x v="2"/>
    <x v="0"/>
    <x v="1"/>
    <n v="1"/>
    <n v="2200"/>
    <n v="2200"/>
    <n v="1804"/>
    <n v="396"/>
  </r>
  <r>
    <s v="ORD0136"/>
    <x v="135"/>
    <s v="Customer_0136"/>
    <x v="4"/>
    <x v="0"/>
    <x v="0"/>
    <x v="4"/>
    <n v="5"/>
    <n v="15000"/>
    <n v="75000"/>
    <n v="61499"/>
    <n v="13501"/>
  </r>
  <r>
    <s v="ORD0137"/>
    <x v="136"/>
    <s v="Customer_0137"/>
    <x v="2"/>
    <x v="0"/>
    <x v="3"/>
    <x v="1"/>
    <n v="8"/>
    <n v="12000"/>
    <n v="96000"/>
    <n v="78720"/>
    <n v="17280"/>
  </r>
  <r>
    <s v="ORD0138"/>
    <x v="137"/>
    <s v="Customer_0138"/>
    <x v="5"/>
    <x v="2"/>
    <x v="1"/>
    <x v="3"/>
    <n v="8"/>
    <n v="2200"/>
    <n v="17600"/>
    <n v="14432"/>
    <n v="3168"/>
  </r>
  <r>
    <s v="ORD0139"/>
    <x v="138"/>
    <s v="Customer_0139"/>
    <x v="7"/>
    <x v="3"/>
    <x v="0"/>
    <x v="2"/>
    <n v="6"/>
    <n v="6500"/>
    <n v="39000"/>
    <n v="31979"/>
    <n v="7021"/>
  </r>
  <r>
    <s v="ORD0140"/>
    <x v="139"/>
    <s v="Customer_0140"/>
    <x v="4"/>
    <x v="0"/>
    <x v="2"/>
    <x v="0"/>
    <n v="1"/>
    <n v="15000"/>
    <n v="15000"/>
    <n v="12300"/>
    <n v="2700"/>
  </r>
  <r>
    <s v="ORD0141"/>
    <x v="140"/>
    <s v="Customer_0141"/>
    <x v="4"/>
    <x v="0"/>
    <x v="0"/>
    <x v="1"/>
    <n v="10"/>
    <n v="15000"/>
    <n v="150000"/>
    <n v="122999"/>
    <n v="27001"/>
  </r>
  <r>
    <s v="ORD0142"/>
    <x v="141"/>
    <s v="Customer_0142"/>
    <x v="1"/>
    <x v="1"/>
    <x v="1"/>
    <x v="2"/>
    <n v="10"/>
    <n v="800"/>
    <n v="8000"/>
    <n v="6560"/>
    <n v="1440"/>
  </r>
  <r>
    <s v="ORD0143"/>
    <x v="142"/>
    <s v="Customer_0143"/>
    <x v="0"/>
    <x v="0"/>
    <x v="1"/>
    <x v="1"/>
    <n v="10"/>
    <n v="50000"/>
    <n v="500000"/>
    <n v="410000"/>
    <n v="90000"/>
  </r>
  <r>
    <s v="ORD0144"/>
    <x v="143"/>
    <s v="Customer_0144"/>
    <x v="0"/>
    <x v="0"/>
    <x v="1"/>
    <x v="1"/>
    <n v="2"/>
    <n v="50000"/>
    <n v="100000"/>
    <n v="82000"/>
    <n v="18000"/>
  </r>
  <r>
    <s v="ORD0145"/>
    <x v="144"/>
    <s v="Customer_0145"/>
    <x v="6"/>
    <x v="1"/>
    <x v="0"/>
    <x v="1"/>
    <n v="5"/>
    <n v="1500"/>
    <n v="7500"/>
    <n v="6150"/>
    <n v="1350"/>
  </r>
  <r>
    <s v="ORD0146"/>
    <x v="145"/>
    <s v="Customer_0146"/>
    <x v="4"/>
    <x v="0"/>
    <x v="0"/>
    <x v="4"/>
    <n v="7"/>
    <n v="15000"/>
    <n v="105000"/>
    <n v="86100"/>
    <n v="18900"/>
  </r>
  <r>
    <s v="ORD0147"/>
    <x v="146"/>
    <s v="Customer_0147"/>
    <x v="1"/>
    <x v="1"/>
    <x v="1"/>
    <x v="2"/>
    <n v="8"/>
    <n v="800"/>
    <n v="6400"/>
    <n v="5248"/>
    <n v="1152"/>
  </r>
  <r>
    <s v="ORD0148"/>
    <x v="147"/>
    <s v="Customer_0148"/>
    <x v="6"/>
    <x v="1"/>
    <x v="0"/>
    <x v="2"/>
    <n v="6"/>
    <n v="1500"/>
    <n v="9000"/>
    <n v="7380"/>
    <n v="1620"/>
  </r>
  <r>
    <s v="ORD0149"/>
    <x v="148"/>
    <s v="Customer_0149"/>
    <x v="5"/>
    <x v="2"/>
    <x v="0"/>
    <x v="4"/>
    <n v="6"/>
    <n v="2200"/>
    <n v="13200"/>
    <n v="10824"/>
    <n v="2376"/>
  </r>
  <r>
    <s v="ORD0150"/>
    <x v="149"/>
    <s v="Customer_0150"/>
    <x v="1"/>
    <x v="1"/>
    <x v="3"/>
    <x v="1"/>
    <n v="3"/>
    <n v="800"/>
    <n v="2400"/>
    <n v="1967"/>
    <n v="433"/>
  </r>
  <r>
    <s v="ORD0151"/>
    <x v="150"/>
    <s v="Customer_0151"/>
    <x v="1"/>
    <x v="1"/>
    <x v="3"/>
    <x v="3"/>
    <n v="8"/>
    <n v="800"/>
    <n v="6400"/>
    <n v="5248"/>
    <n v="1152"/>
  </r>
  <r>
    <s v="ORD0152"/>
    <x v="151"/>
    <s v="Customer_0152"/>
    <x v="7"/>
    <x v="3"/>
    <x v="3"/>
    <x v="3"/>
    <n v="1"/>
    <n v="6500"/>
    <n v="6500"/>
    <n v="5330"/>
    <n v="1170"/>
  </r>
  <r>
    <s v="ORD0153"/>
    <x v="152"/>
    <s v="Customer_0153"/>
    <x v="4"/>
    <x v="0"/>
    <x v="0"/>
    <x v="0"/>
    <n v="2"/>
    <n v="15000"/>
    <n v="30000"/>
    <n v="24600"/>
    <n v="5400"/>
  </r>
  <r>
    <s v="ORD0154"/>
    <x v="153"/>
    <s v="Customer_0154"/>
    <x v="2"/>
    <x v="0"/>
    <x v="0"/>
    <x v="4"/>
    <n v="10"/>
    <n v="12000"/>
    <n v="120000"/>
    <n v="98400"/>
    <n v="21600"/>
  </r>
  <r>
    <s v="ORD0155"/>
    <x v="154"/>
    <s v="Customer_0155"/>
    <x v="3"/>
    <x v="1"/>
    <x v="1"/>
    <x v="2"/>
    <n v="9"/>
    <n v="3000"/>
    <n v="27000"/>
    <n v="22140"/>
    <n v="4860"/>
  </r>
  <r>
    <s v="ORD0156"/>
    <x v="155"/>
    <s v="Customer_0156"/>
    <x v="5"/>
    <x v="2"/>
    <x v="2"/>
    <x v="3"/>
    <n v="3"/>
    <n v="2200"/>
    <n v="6600"/>
    <n v="5412"/>
    <n v="1188"/>
  </r>
  <r>
    <s v="ORD0157"/>
    <x v="156"/>
    <s v="Customer_0157"/>
    <x v="4"/>
    <x v="0"/>
    <x v="0"/>
    <x v="2"/>
    <n v="10"/>
    <n v="15000"/>
    <n v="150000"/>
    <n v="122999"/>
    <n v="27001"/>
  </r>
  <r>
    <s v="ORD0158"/>
    <x v="157"/>
    <s v="Customer_0158"/>
    <x v="5"/>
    <x v="2"/>
    <x v="0"/>
    <x v="2"/>
    <n v="1"/>
    <n v="2200"/>
    <n v="2200"/>
    <n v="1804"/>
    <n v="396"/>
  </r>
  <r>
    <s v="ORD0159"/>
    <x v="158"/>
    <s v="Customer_0159"/>
    <x v="5"/>
    <x v="2"/>
    <x v="1"/>
    <x v="1"/>
    <n v="8"/>
    <n v="2200"/>
    <n v="17600"/>
    <n v="14432"/>
    <n v="3168"/>
  </r>
  <r>
    <s v="ORD0160"/>
    <x v="159"/>
    <s v="Customer_0160"/>
    <x v="6"/>
    <x v="1"/>
    <x v="1"/>
    <x v="4"/>
    <n v="9"/>
    <n v="1500"/>
    <n v="13500"/>
    <n v="11070"/>
    <n v="2430"/>
  </r>
  <r>
    <s v="ORD0161"/>
    <x v="160"/>
    <s v="Customer_0161"/>
    <x v="7"/>
    <x v="3"/>
    <x v="1"/>
    <x v="1"/>
    <n v="1"/>
    <n v="6500"/>
    <n v="6500"/>
    <n v="5330"/>
    <n v="1170"/>
  </r>
  <r>
    <s v="ORD0162"/>
    <x v="161"/>
    <s v="Customer_0162"/>
    <x v="2"/>
    <x v="0"/>
    <x v="1"/>
    <x v="4"/>
    <n v="9"/>
    <n v="12000"/>
    <n v="108000"/>
    <n v="88560"/>
    <n v="19440"/>
  </r>
  <r>
    <s v="ORD0163"/>
    <x v="162"/>
    <s v="Customer_0163"/>
    <x v="0"/>
    <x v="0"/>
    <x v="0"/>
    <x v="4"/>
    <n v="10"/>
    <n v="50000"/>
    <n v="500000"/>
    <n v="410000"/>
    <n v="90000"/>
  </r>
  <r>
    <s v="ORD0164"/>
    <x v="163"/>
    <s v="Customer_0164"/>
    <x v="4"/>
    <x v="0"/>
    <x v="3"/>
    <x v="1"/>
    <n v="9"/>
    <n v="15000"/>
    <n v="135000"/>
    <n v="110700"/>
    <n v="24300"/>
  </r>
  <r>
    <s v="ORD0165"/>
    <x v="164"/>
    <s v="Customer_0165"/>
    <x v="5"/>
    <x v="2"/>
    <x v="1"/>
    <x v="4"/>
    <n v="9"/>
    <n v="2200"/>
    <n v="19800"/>
    <n v="16235"/>
    <n v="3565"/>
  </r>
  <r>
    <s v="ORD0166"/>
    <x v="165"/>
    <s v="Customer_0166"/>
    <x v="0"/>
    <x v="0"/>
    <x v="1"/>
    <x v="1"/>
    <n v="9"/>
    <n v="50000"/>
    <n v="450000"/>
    <n v="369000"/>
    <n v="81000"/>
  </r>
  <r>
    <s v="ORD0167"/>
    <x v="166"/>
    <s v="Customer_0167"/>
    <x v="0"/>
    <x v="0"/>
    <x v="2"/>
    <x v="1"/>
    <n v="7"/>
    <n v="50000"/>
    <n v="350000"/>
    <n v="287000"/>
    <n v="63000"/>
  </r>
  <r>
    <s v="ORD0168"/>
    <x v="167"/>
    <s v="Customer_0168"/>
    <x v="2"/>
    <x v="0"/>
    <x v="0"/>
    <x v="0"/>
    <n v="7"/>
    <n v="12000"/>
    <n v="84000"/>
    <n v="68880"/>
    <n v="15120"/>
  </r>
  <r>
    <s v="ORD0169"/>
    <x v="168"/>
    <s v="Customer_0169"/>
    <x v="0"/>
    <x v="0"/>
    <x v="3"/>
    <x v="4"/>
    <n v="5"/>
    <n v="50000"/>
    <n v="250000"/>
    <n v="205000"/>
    <n v="45000"/>
  </r>
  <r>
    <s v="ORD0170"/>
    <x v="169"/>
    <s v="Customer_0170"/>
    <x v="4"/>
    <x v="0"/>
    <x v="1"/>
    <x v="4"/>
    <n v="3"/>
    <n v="15000"/>
    <n v="45000"/>
    <n v="36900"/>
    <n v="8100"/>
  </r>
  <r>
    <s v="ORD0171"/>
    <x v="170"/>
    <s v="Customer_0171"/>
    <x v="7"/>
    <x v="3"/>
    <x v="3"/>
    <x v="1"/>
    <n v="5"/>
    <n v="6500"/>
    <n v="32500"/>
    <n v="26650"/>
    <n v="5850"/>
  </r>
  <r>
    <s v="ORD0172"/>
    <x v="171"/>
    <s v="Customer_0172"/>
    <x v="6"/>
    <x v="1"/>
    <x v="3"/>
    <x v="2"/>
    <n v="8"/>
    <n v="1500"/>
    <n v="12000"/>
    <n v="9840"/>
    <n v="2160"/>
  </r>
  <r>
    <s v="ORD0173"/>
    <x v="172"/>
    <s v="Customer_0173"/>
    <x v="1"/>
    <x v="1"/>
    <x v="1"/>
    <x v="1"/>
    <n v="7"/>
    <n v="800"/>
    <n v="5600"/>
    <n v="4592"/>
    <n v="1008"/>
  </r>
  <r>
    <s v="ORD0174"/>
    <x v="173"/>
    <s v="Customer_0174"/>
    <x v="3"/>
    <x v="1"/>
    <x v="0"/>
    <x v="3"/>
    <n v="1"/>
    <n v="3000"/>
    <n v="3000"/>
    <n v="2460"/>
    <n v="540"/>
  </r>
  <r>
    <s v="ORD0175"/>
    <x v="174"/>
    <s v="Customer_0175"/>
    <x v="2"/>
    <x v="0"/>
    <x v="2"/>
    <x v="0"/>
    <n v="3"/>
    <n v="12000"/>
    <n v="36000"/>
    <n v="29520"/>
    <n v="6480"/>
  </r>
  <r>
    <s v="ORD0176"/>
    <x v="175"/>
    <s v="Customer_0176"/>
    <x v="2"/>
    <x v="0"/>
    <x v="1"/>
    <x v="2"/>
    <n v="7"/>
    <n v="12000"/>
    <n v="84000"/>
    <n v="68880"/>
    <n v="15120"/>
  </r>
  <r>
    <s v="ORD0177"/>
    <x v="176"/>
    <s v="Customer_0177"/>
    <x v="7"/>
    <x v="3"/>
    <x v="0"/>
    <x v="4"/>
    <n v="4"/>
    <n v="6500"/>
    <n v="26000"/>
    <n v="21320"/>
    <n v="4680"/>
  </r>
  <r>
    <s v="ORD0178"/>
    <x v="177"/>
    <s v="Customer_0178"/>
    <x v="3"/>
    <x v="1"/>
    <x v="3"/>
    <x v="0"/>
    <n v="6"/>
    <n v="3000"/>
    <n v="18000"/>
    <n v="14760"/>
    <n v="3240"/>
  </r>
  <r>
    <s v="ORD0179"/>
    <x v="178"/>
    <s v="Customer_0179"/>
    <x v="2"/>
    <x v="0"/>
    <x v="0"/>
    <x v="4"/>
    <n v="4"/>
    <n v="12000"/>
    <n v="48000"/>
    <n v="39360"/>
    <n v="8640"/>
  </r>
  <r>
    <s v="ORD0180"/>
    <x v="179"/>
    <s v="Customer_0180"/>
    <x v="4"/>
    <x v="0"/>
    <x v="3"/>
    <x v="4"/>
    <n v="6"/>
    <n v="15000"/>
    <n v="90000"/>
    <n v="73800"/>
    <n v="16200"/>
  </r>
  <r>
    <s v="ORD0181"/>
    <x v="180"/>
    <s v="Customer_0181"/>
    <x v="2"/>
    <x v="0"/>
    <x v="3"/>
    <x v="4"/>
    <n v="4"/>
    <n v="12000"/>
    <n v="48000"/>
    <n v="39360"/>
    <n v="8640"/>
  </r>
  <r>
    <s v="ORD0182"/>
    <x v="181"/>
    <s v="Customer_0182"/>
    <x v="6"/>
    <x v="1"/>
    <x v="1"/>
    <x v="3"/>
    <n v="8"/>
    <n v="1500"/>
    <n v="12000"/>
    <n v="9840"/>
    <n v="2160"/>
  </r>
  <r>
    <s v="ORD0183"/>
    <x v="182"/>
    <s v="Customer_0183"/>
    <x v="3"/>
    <x v="1"/>
    <x v="0"/>
    <x v="4"/>
    <n v="7"/>
    <n v="3000"/>
    <n v="21000"/>
    <n v="17220"/>
    <n v="3780"/>
  </r>
  <r>
    <s v="ORD0184"/>
    <x v="183"/>
    <s v="Customer_0184"/>
    <x v="7"/>
    <x v="3"/>
    <x v="3"/>
    <x v="0"/>
    <n v="8"/>
    <n v="6500"/>
    <n v="52000"/>
    <n v="42640"/>
    <n v="9360"/>
  </r>
  <r>
    <s v="ORD0185"/>
    <x v="184"/>
    <s v="Customer_0185"/>
    <x v="0"/>
    <x v="0"/>
    <x v="0"/>
    <x v="0"/>
    <n v="4"/>
    <n v="50000"/>
    <n v="200000"/>
    <n v="164000"/>
    <n v="36000"/>
  </r>
  <r>
    <s v="ORD0186"/>
    <x v="185"/>
    <s v="Customer_0186"/>
    <x v="2"/>
    <x v="0"/>
    <x v="2"/>
    <x v="4"/>
    <n v="9"/>
    <n v="12000"/>
    <n v="108000"/>
    <n v="88560"/>
    <n v="19440"/>
  </r>
  <r>
    <s v="ORD0187"/>
    <x v="186"/>
    <s v="Customer_0187"/>
    <x v="2"/>
    <x v="0"/>
    <x v="3"/>
    <x v="0"/>
    <n v="1"/>
    <n v="12000"/>
    <n v="12000"/>
    <n v="9840"/>
    <n v="2160"/>
  </r>
  <r>
    <s v="ORD0188"/>
    <x v="187"/>
    <s v="Customer_0188"/>
    <x v="5"/>
    <x v="2"/>
    <x v="3"/>
    <x v="3"/>
    <n v="8"/>
    <n v="2200"/>
    <n v="17600"/>
    <n v="14432"/>
    <n v="3168"/>
  </r>
  <r>
    <s v="ORD0189"/>
    <x v="188"/>
    <s v="Customer_0189"/>
    <x v="1"/>
    <x v="1"/>
    <x v="1"/>
    <x v="3"/>
    <n v="1"/>
    <n v="800"/>
    <n v="800"/>
    <n v="656"/>
    <n v="144"/>
  </r>
  <r>
    <s v="ORD0190"/>
    <x v="189"/>
    <s v="Customer_0190"/>
    <x v="7"/>
    <x v="3"/>
    <x v="2"/>
    <x v="3"/>
    <n v="7"/>
    <n v="6500"/>
    <n v="45500"/>
    <n v="37310"/>
    <n v="8190"/>
  </r>
  <r>
    <s v="ORD0191"/>
    <x v="190"/>
    <s v="Customer_0191"/>
    <x v="0"/>
    <x v="0"/>
    <x v="1"/>
    <x v="0"/>
    <n v="2"/>
    <n v="50000"/>
    <n v="100000"/>
    <n v="82000"/>
    <n v="18000"/>
  </r>
  <r>
    <s v="ORD0192"/>
    <x v="191"/>
    <s v="Customer_0192"/>
    <x v="7"/>
    <x v="3"/>
    <x v="1"/>
    <x v="0"/>
    <n v="1"/>
    <n v="6500"/>
    <n v="6500"/>
    <n v="5330"/>
    <n v="1170"/>
  </r>
  <r>
    <s v="ORD0193"/>
    <x v="192"/>
    <s v="Customer_0193"/>
    <x v="5"/>
    <x v="2"/>
    <x v="1"/>
    <x v="3"/>
    <n v="5"/>
    <n v="2200"/>
    <n v="11000"/>
    <n v="9020"/>
    <n v="1980"/>
  </r>
  <r>
    <s v="ORD0194"/>
    <x v="193"/>
    <s v="Customer_0194"/>
    <x v="5"/>
    <x v="2"/>
    <x v="0"/>
    <x v="4"/>
    <n v="2"/>
    <n v="2200"/>
    <n v="4400"/>
    <n v="3608"/>
    <n v="792"/>
  </r>
  <r>
    <s v="ORD0195"/>
    <x v="194"/>
    <s v="Customer_0195"/>
    <x v="2"/>
    <x v="0"/>
    <x v="1"/>
    <x v="0"/>
    <n v="3"/>
    <n v="12000"/>
    <n v="36000"/>
    <n v="29520"/>
    <n v="6480"/>
  </r>
  <r>
    <s v="ORD0196"/>
    <x v="195"/>
    <s v="Customer_0196"/>
    <x v="0"/>
    <x v="0"/>
    <x v="2"/>
    <x v="0"/>
    <n v="5"/>
    <n v="50000"/>
    <n v="250000"/>
    <n v="205000"/>
    <n v="45000"/>
  </r>
  <r>
    <s v="ORD0197"/>
    <x v="196"/>
    <s v="Customer_0197"/>
    <x v="0"/>
    <x v="0"/>
    <x v="2"/>
    <x v="0"/>
    <n v="7"/>
    <n v="50000"/>
    <n v="350000"/>
    <n v="287000"/>
    <n v="63000"/>
  </r>
  <r>
    <s v="ORD0198"/>
    <x v="197"/>
    <s v="Customer_0198"/>
    <x v="4"/>
    <x v="0"/>
    <x v="2"/>
    <x v="0"/>
    <n v="3"/>
    <n v="15000"/>
    <n v="45000"/>
    <n v="36900"/>
    <n v="8100"/>
  </r>
  <r>
    <s v="ORD0199"/>
    <x v="198"/>
    <s v="Customer_0199"/>
    <x v="1"/>
    <x v="1"/>
    <x v="1"/>
    <x v="0"/>
    <n v="5"/>
    <n v="800"/>
    <n v="4000"/>
    <n v="3280"/>
    <n v="720"/>
  </r>
  <r>
    <s v="ORD0200"/>
    <x v="199"/>
    <s v="Customer_0200"/>
    <x v="7"/>
    <x v="3"/>
    <x v="3"/>
    <x v="0"/>
    <n v="10"/>
    <n v="6500"/>
    <n v="65000"/>
    <n v="53300"/>
    <n v="11700"/>
  </r>
  <r>
    <s v="ORD0201"/>
    <x v="200"/>
    <s v="Customer_0201"/>
    <x v="4"/>
    <x v="0"/>
    <x v="2"/>
    <x v="1"/>
    <n v="1"/>
    <n v="15000"/>
    <n v="15000"/>
    <n v="12300"/>
    <n v="2700"/>
  </r>
  <r>
    <s v="ORD0202"/>
    <x v="201"/>
    <s v="Customer_0202"/>
    <x v="2"/>
    <x v="0"/>
    <x v="1"/>
    <x v="3"/>
    <n v="3"/>
    <n v="12000"/>
    <n v="36000"/>
    <n v="29520"/>
    <n v="6480"/>
  </r>
  <r>
    <s v="ORD0203"/>
    <x v="202"/>
    <s v="Customer_0203"/>
    <x v="5"/>
    <x v="2"/>
    <x v="2"/>
    <x v="1"/>
    <n v="5"/>
    <n v="2200"/>
    <n v="11000"/>
    <n v="9020"/>
    <n v="1980"/>
  </r>
  <r>
    <s v="ORD0204"/>
    <x v="203"/>
    <s v="Customer_0204"/>
    <x v="6"/>
    <x v="1"/>
    <x v="2"/>
    <x v="3"/>
    <n v="4"/>
    <n v="1500"/>
    <n v="6000"/>
    <n v="4920"/>
    <n v="1080"/>
  </r>
  <r>
    <s v="ORD0205"/>
    <x v="204"/>
    <s v="Customer_0205"/>
    <x v="1"/>
    <x v="1"/>
    <x v="2"/>
    <x v="2"/>
    <n v="7"/>
    <n v="800"/>
    <n v="5600"/>
    <n v="4592"/>
    <n v="1008"/>
  </r>
  <r>
    <s v="ORD0206"/>
    <x v="205"/>
    <s v="Customer_0206"/>
    <x v="4"/>
    <x v="0"/>
    <x v="1"/>
    <x v="1"/>
    <n v="7"/>
    <n v="15000"/>
    <n v="105000"/>
    <n v="86100"/>
    <n v="18900"/>
  </r>
  <r>
    <s v="ORD0207"/>
    <x v="206"/>
    <s v="Customer_0207"/>
    <x v="3"/>
    <x v="1"/>
    <x v="3"/>
    <x v="1"/>
    <n v="8"/>
    <n v="3000"/>
    <n v="24000"/>
    <n v="19680"/>
    <n v="4320"/>
  </r>
  <r>
    <s v="ORD0208"/>
    <x v="207"/>
    <s v="Customer_0208"/>
    <x v="6"/>
    <x v="1"/>
    <x v="0"/>
    <x v="1"/>
    <n v="1"/>
    <n v="1500"/>
    <n v="1500"/>
    <n v="1230"/>
    <n v="270"/>
  </r>
  <r>
    <s v="ORD0209"/>
    <x v="208"/>
    <s v="Customer_0209"/>
    <x v="6"/>
    <x v="1"/>
    <x v="3"/>
    <x v="1"/>
    <n v="5"/>
    <n v="1500"/>
    <n v="7500"/>
    <n v="6150"/>
    <n v="1350"/>
  </r>
  <r>
    <s v="ORD0210"/>
    <x v="209"/>
    <s v="Customer_0210"/>
    <x v="5"/>
    <x v="2"/>
    <x v="3"/>
    <x v="0"/>
    <n v="10"/>
    <n v="2200"/>
    <n v="22000"/>
    <n v="18040"/>
    <n v="3960"/>
  </r>
  <r>
    <s v="ORD0211"/>
    <x v="210"/>
    <s v="Customer_0211"/>
    <x v="2"/>
    <x v="0"/>
    <x v="3"/>
    <x v="4"/>
    <n v="10"/>
    <n v="12000"/>
    <n v="120000"/>
    <n v="98400"/>
    <n v="21600"/>
  </r>
  <r>
    <s v="ORD0212"/>
    <x v="211"/>
    <s v="Customer_0212"/>
    <x v="6"/>
    <x v="1"/>
    <x v="1"/>
    <x v="3"/>
    <n v="5"/>
    <n v="1500"/>
    <n v="7500"/>
    <n v="6150"/>
    <n v="1350"/>
  </r>
  <r>
    <s v="ORD0213"/>
    <x v="212"/>
    <s v="Customer_0213"/>
    <x v="7"/>
    <x v="3"/>
    <x v="2"/>
    <x v="1"/>
    <n v="3"/>
    <n v="6500"/>
    <n v="19500"/>
    <n v="15989"/>
    <n v="3511"/>
  </r>
  <r>
    <s v="ORD0214"/>
    <x v="213"/>
    <s v="Customer_0214"/>
    <x v="1"/>
    <x v="1"/>
    <x v="1"/>
    <x v="2"/>
    <n v="2"/>
    <n v="800"/>
    <n v="1600"/>
    <n v="1312"/>
    <n v="288"/>
  </r>
  <r>
    <s v="ORD0215"/>
    <x v="214"/>
    <s v="Customer_0215"/>
    <x v="3"/>
    <x v="1"/>
    <x v="0"/>
    <x v="1"/>
    <n v="5"/>
    <n v="3000"/>
    <n v="15000"/>
    <n v="12300"/>
    <n v="2700"/>
  </r>
  <r>
    <s v="ORD0216"/>
    <x v="215"/>
    <s v="Customer_0216"/>
    <x v="5"/>
    <x v="2"/>
    <x v="2"/>
    <x v="0"/>
    <n v="8"/>
    <n v="2200"/>
    <n v="17600"/>
    <n v="14432"/>
    <n v="3168"/>
  </r>
  <r>
    <s v="ORD0217"/>
    <x v="216"/>
    <s v="Customer_0217"/>
    <x v="5"/>
    <x v="2"/>
    <x v="3"/>
    <x v="0"/>
    <n v="6"/>
    <n v="2200"/>
    <n v="13200"/>
    <n v="10824"/>
    <n v="2376"/>
  </r>
  <r>
    <s v="ORD0218"/>
    <x v="217"/>
    <s v="Customer_0218"/>
    <x v="5"/>
    <x v="2"/>
    <x v="1"/>
    <x v="4"/>
    <n v="4"/>
    <n v="2200"/>
    <n v="8800"/>
    <n v="7216"/>
    <n v="1584"/>
  </r>
  <r>
    <s v="ORD0219"/>
    <x v="218"/>
    <s v="Customer_0219"/>
    <x v="3"/>
    <x v="1"/>
    <x v="3"/>
    <x v="1"/>
    <n v="1"/>
    <n v="3000"/>
    <n v="3000"/>
    <n v="2460"/>
    <n v="540"/>
  </r>
  <r>
    <s v="ORD0220"/>
    <x v="219"/>
    <s v="Customer_0220"/>
    <x v="1"/>
    <x v="1"/>
    <x v="1"/>
    <x v="0"/>
    <n v="10"/>
    <n v="800"/>
    <n v="8000"/>
    <n v="6560"/>
    <n v="1440"/>
  </r>
  <r>
    <s v="ORD0221"/>
    <x v="220"/>
    <s v="Customer_0221"/>
    <x v="6"/>
    <x v="1"/>
    <x v="3"/>
    <x v="2"/>
    <n v="3"/>
    <n v="1500"/>
    <n v="4500"/>
    <n v="3690"/>
    <n v="810"/>
  </r>
  <r>
    <s v="ORD0222"/>
    <x v="221"/>
    <s v="Customer_0222"/>
    <x v="7"/>
    <x v="3"/>
    <x v="1"/>
    <x v="4"/>
    <n v="10"/>
    <n v="6500"/>
    <n v="65000"/>
    <n v="53300"/>
    <n v="11700"/>
  </r>
  <r>
    <s v="ORD0223"/>
    <x v="222"/>
    <s v="Customer_0223"/>
    <x v="5"/>
    <x v="2"/>
    <x v="2"/>
    <x v="1"/>
    <n v="10"/>
    <n v="2200"/>
    <n v="22000"/>
    <n v="18040"/>
    <n v="3960"/>
  </r>
  <r>
    <s v="ORD0224"/>
    <x v="223"/>
    <s v="Customer_0224"/>
    <x v="4"/>
    <x v="0"/>
    <x v="0"/>
    <x v="0"/>
    <n v="1"/>
    <n v="15000"/>
    <n v="15000"/>
    <n v="12300"/>
    <n v="2700"/>
  </r>
  <r>
    <s v="ORD0225"/>
    <x v="224"/>
    <s v="Customer_0225"/>
    <x v="3"/>
    <x v="1"/>
    <x v="0"/>
    <x v="4"/>
    <n v="3"/>
    <n v="3000"/>
    <n v="9000"/>
    <n v="7380"/>
    <n v="1620"/>
  </r>
  <r>
    <s v="ORD0226"/>
    <x v="225"/>
    <s v="Customer_0226"/>
    <x v="2"/>
    <x v="0"/>
    <x v="3"/>
    <x v="4"/>
    <n v="8"/>
    <n v="12000"/>
    <n v="96000"/>
    <n v="78720"/>
    <n v="17280"/>
  </r>
  <r>
    <s v="ORD0227"/>
    <x v="226"/>
    <s v="Customer_0227"/>
    <x v="4"/>
    <x v="0"/>
    <x v="2"/>
    <x v="2"/>
    <n v="7"/>
    <n v="15000"/>
    <n v="105000"/>
    <n v="86100"/>
    <n v="18900"/>
  </r>
  <r>
    <s v="ORD0228"/>
    <x v="227"/>
    <s v="Customer_0228"/>
    <x v="3"/>
    <x v="1"/>
    <x v="3"/>
    <x v="0"/>
    <n v="7"/>
    <n v="3000"/>
    <n v="21000"/>
    <n v="17220"/>
    <n v="3780"/>
  </r>
  <r>
    <s v="ORD0229"/>
    <x v="228"/>
    <s v="Customer_0229"/>
    <x v="5"/>
    <x v="2"/>
    <x v="0"/>
    <x v="1"/>
    <n v="2"/>
    <n v="2200"/>
    <n v="4400"/>
    <n v="3608"/>
    <n v="792"/>
  </r>
  <r>
    <s v="ORD0230"/>
    <x v="229"/>
    <s v="Customer_0230"/>
    <x v="1"/>
    <x v="1"/>
    <x v="1"/>
    <x v="3"/>
    <n v="10"/>
    <n v="800"/>
    <n v="8000"/>
    <n v="6560"/>
    <n v="1440"/>
  </r>
  <r>
    <s v="ORD0231"/>
    <x v="230"/>
    <s v="Customer_0231"/>
    <x v="0"/>
    <x v="0"/>
    <x v="1"/>
    <x v="4"/>
    <n v="10"/>
    <n v="50000"/>
    <n v="500000"/>
    <n v="410000"/>
    <n v="90000"/>
  </r>
  <r>
    <s v="ORD0232"/>
    <x v="231"/>
    <s v="Customer_0232"/>
    <x v="4"/>
    <x v="0"/>
    <x v="1"/>
    <x v="2"/>
    <n v="7"/>
    <n v="15000"/>
    <n v="105000"/>
    <n v="86100"/>
    <n v="18900"/>
  </r>
  <r>
    <s v="ORD0233"/>
    <x v="232"/>
    <s v="Customer_0233"/>
    <x v="6"/>
    <x v="1"/>
    <x v="1"/>
    <x v="0"/>
    <n v="5"/>
    <n v="1500"/>
    <n v="7500"/>
    <n v="6150"/>
    <n v="1350"/>
  </r>
  <r>
    <s v="ORD0234"/>
    <x v="233"/>
    <s v="Customer_0234"/>
    <x v="4"/>
    <x v="0"/>
    <x v="2"/>
    <x v="2"/>
    <n v="2"/>
    <n v="15000"/>
    <n v="30000"/>
    <n v="24600"/>
    <n v="5400"/>
  </r>
  <r>
    <s v="ORD0235"/>
    <x v="234"/>
    <s v="Customer_0235"/>
    <x v="1"/>
    <x v="1"/>
    <x v="0"/>
    <x v="2"/>
    <n v="6"/>
    <n v="800"/>
    <n v="4800"/>
    <n v="3935"/>
    <n v="865"/>
  </r>
  <r>
    <s v="ORD0236"/>
    <x v="235"/>
    <s v="Customer_0236"/>
    <x v="3"/>
    <x v="1"/>
    <x v="0"/>
    <x v="4"/>
    <n v="9"/>
    <n v="3000"/>
    <n v="27000"/>
    <n v="22140"/>
    <n v="4860"/>
  </r>
  <r>
    <s v="ORD0237"/>
    <x v="236"/>
    <s v="Customer_0237"/>
    <x v="7"/>
    <x v="3"/>
    <x v="3"/>
    <x v="0"/>
    <n v="10"/>
    <n v="6500"/>
    <n v="65000"/>
    <n v="53300"/>
    <n v="11700"/>
  </r>
  <r>
    <s v="ORD0238"/>
    <x v="237"/>
    <s v="Customer_0238"/>
    <x v="4"/>
    <x v="0"/>
    <x v="1"/>
    <x v="2"/>
    <n v="8"/>
    <n v="15000"/>
    <n v="120000"/>
    <n v="98400"/>
    <n v="21600"/>
  </r>
  <r>
    <s v="ORD0239"/>
    <x v="238"/>
    <s v="Customer_0239"/>
    <x v="0"/>
    <x v="0"/>
    <x v="1"/>
    <x v="0"/>
    <n v="9"/>
    <n v="50000"/>
    <n v="450000"/>
    <n v="369000"/>
    <n v="81000"/>
  </r>
  <r>
    <s v="ORD0240"/>
    <x v="239"/>
    <s v="Customer_0240"/>
    <x v="3"/>
    <x v="1"/>
    <x v="2"/>
    <x v="0"/>
    <n v="4"/>
    <n v="3000"/>
    <n v="12000"/>
    <n v="9840"/>
    <n v="2160"/>
  </r>
  <r>
    <s v="ORD0241"/>
    <x v="240"/>
    <s v="Customer_0241"/>
    <x v="7"/>
    <x v="3"/>
    <x v="3"/>
    <x v="2"/>
    <n v="3"/>
    <n v="6500"/>
    <n v="19500"/>
    <n v="15989"/>
    <n v="3511"/>
  </r>
  <r>
    <s v="ORD0242"/>
    <x v="241"/>
    <s v="Customer_0242"/>
    <x v="7"/>
    <x v="3"/>
    <x v="2"/>
    <x v="3"/>
    <n v="5"/>
    <n v="6500"/>
    <n v="32500"/>
    <n v="26650"/>
    <n v="5850"/>
  </r>
  <r>
    <s v="ORD0243"/>
    <x v="242"/>
    <s v="Customer_0243"/>
    <x v="7"/>
    <x v="3"/>
    <x v="3"/>
    <x v="4"/>
    <n v="8"/>
    <n v="6500"/>
    <n v="52000"/>
    <n v="42640"/>
    <n v="9360"/>
  </r>
  <r>
    <s v="ORD0244"/>
    <x v="243"/>
    <s v="Customer_0244"/>
    <x v="5"/>
    <x v="2"/>
    <x v="1"/>
    <x v="1"/>
    <n v="9"/>
    <n v="2200"/>
    <n v="19800"/>
    <n v="16235"/>
    <n v="3565"/>
  </r>
  <r>
    <s v="ORD0245"/>
    <x v="244"/>
    <s v="Customer_0245"/>
    <x v="3"/>
    <x v="1"/>
    <x v="2"/>
    <x v="2"/>
    <n v="7"/>
    <n v="3000"/>
    <n v="21000"/>
    <n v="17220"/>
    <n v="3780"/>
  </r>
  <r>
    <s v="ORD0246"/>
    <x v="245"/>
    <s v="Customer_0246"/>
    <x v="4"/>
    <x v="0"/>
    <x v="1"/>
    <x v="3"/>
    <n v="4"/>
    <n v="15000"/>
    <n v="60000"/>
    <n v="49200"/>
    <n v="10800"/>
  </r>
  <r>
    <s v="ORD0247"/>
    <x v="246"/>
    <s v="Customer_0247"/>
    <x v="7"/>
    <x v="3"/>
    <x v="3"/>
    <x v="4"/>
    <n v="10"/>
    <n v="6500"/>
    <n v="65000"/>
    <n v="53300"/>
    <n v="11700"/>
  </r>
  <r>
    <s v="ORD0248"/>
    <x v="247"/>
    <s v="Customer_0248"/>
    <x v="0"/>
    <x v="0"/>
    <x v="3"/>
    <x v="3"/>
    <n v="3"/>
    <n v="50000"/>
    <n v="150000"/>
    <n v="122999"/>
    <n v="27001"/>
  </r>
  <r>
    <s v="ORD0249"/>
    <x v="248"/>
    <s v="Customer_0249"/>
    <x v="1"/>
    <x v="1"/>
    <x v="1"/>
    <x v="4"/>
    <n v="3"/>
    <n v="800"/>
    <n v="2400"/>
    <n v="1967"/>
    <n v="433"/>
  </r>
  <r>
    <s v="ORD0250"/>
    <x v="249"/>
    <s v="Customer_0250"/>
    <x v="2"/>
    <x v="0"/>
    <x v="3"/>
    <x v="4"/>
    <n v="7"/>
    <n v="12000"/>
    <n v="84000"/>
    <n v="68880"/>
    <n v="15120"/>
  </r>
  <r>
    <s v="ORD0251"/>
    <x v="250"/>
    <s v="Customer_0251"/>
    <x v="4"/>
    <x v="0"/>
    <x v="2"/>
    <x v="4"/>
    <n v="7"/>
    <n v="15000"/>
    <n v="105000"/>
    <n v="86100"/>
    <n v="18900"/>
  </r>
  <r>
    <s v="ORD0252"/>
    <x v="251"/>
    <s v="Customer_0252"/>
    <x v="0"/>
    <x v="0"/>
    <x v="3"/>
    <x v="3"/>
    <n v="8"/>
    <n v="50000"/>
    <n v="400000"/>
    <n v="328000"/>
    <n v="72000"/>
  </r>
  <r>
    <s v="ORD0253"/>
    <x v="252"/>
    <s v="Customer_0253"/>
    <x v="6"/>
    <x v="1"/>
    <x v="3"/>
    <x v="2"/>
    <n v="8"/>
    <n v="1500"/>
    <n v="12000"/>
    <n v="9840"/>
    <n v="2160"/>
  </r>
  <r>
    <s v="ORD0254"/>
    <x v="253"/>
    <s v="Customer_0254"/>
    <x v="7"/>
    <x v="3"/>
    <x v="3"/>
    <x v="2"/>
    <n v="4"/>
    <n v="6500"/>
    <n v="26000"/>
    <n v="21320"/>
    <n v="4680"/>
  </r>
  <r>
    <s v="ORD0255"/>
    <x v="254"/>
    <s v="Customer_0255"/>
    <x v="6"/>
    <x v="1"/>
    <x v="0"/>
    <x v="3"/>
    <n v="10"/>
    <n v="1500"/>
    <n v="15000"/>
    <n v="12300"/>
    <n v="2700"/>
  </r>
  <r>
    <s v="ORD0256"/>
    <x v="255"/>
    <s v="Customer_0256"/>
    <x v="2"/>
    <x v="0"/>
    <x v="3"/>
    <x v="4"/>
    <n v="9"/>
    <n v="12000"/>
    <n v="108000"/>
    <n v="88560"/>
    <n v="19440"/>
  </r>
  <r>
    <s v="ORD0257"/>
    <x v="256"/>
    <s v="Customer_0257"/>
    <x v="0"/>
    <x v="0"/>
    <x v="3"/>
    <x v="3"/>
    <n v="9"/>
    <n v="50000"/>
    <n v="450000"/>
    <n v="369000"/>
    <n v="81000"/>
  </r>
  <r>
    <s v="ORD0258"/>
    <x v="257"/>
    <s v="Customer_0258"/>
    <x v="6"/>
    <x v="1"/>
    <x v="1"/>
    <x v="3"/>
    <n v="8"/>
    <n v="1500"/>
    <n v="12000"/>
    <n v="9840"/>
    <n v="2160"/>
  </r>
  <r>
    <s v="ORD0259"/>
    <x v="258"/>
    <s v="Customer_0259"/>
    <x v="1"/>
    <x v="1"/>
    <x v="2"/>
    <x v="1"/>
    <n v="1"/>
    <n v="800"/>
    <n v="800"/>
    <n v="656"/>
    <n v="144"/>
  </r>
  <r>
    <s v="ORD0260"/>
    <x v="259"/>
    <s v="Customer_0260"/>
    <x v="5"/>
    <x v="2"/>
    <x v="1"/>
    <x v="2"/>
    <n v="10"/>
    <n v="2200"/>
    <n v="22000"/>
    <n v="18040"/>
    <n v="3960"/>
  </r>
  <r>
    <s v="ORD0261"/>
    <x v="260"/>
    <s v="Customer_0261"/>
    <x v="3"/>
    <x v="1"/>
    <x v="0"/>
    <x v="1"/>
    <n v="2"/>
    <n v="3000"/>
    <n v="6000"/>
    <n v="4920"/>
    <n v="1080"/>
  </r>
  <r>
    <s v="ORD0262"/>
    <x v="261"/>
    <s v="Customer_0262"/>
    <x v="6"/>
    <x v="1"/>
    <x v="1"/>
    <x v="0"/>
    <n v="6"/>
    <n v="1500"/>
    <n v="9000"/>
    <n v="7380"/>
    <n v="1620"/>
  </r>
  <r>
    <s v="ORD0263"/>
    <x v="262"/>
    <s v="Customer_0263"/>
    <x v="7"/>
    <x v="3"/>
    <x v="1"/>
    <x v="3"/>
    <n v="5"/>
    <n v="6500"/>
    <n v="32500"/>
    <n v="26650"/>
    <n v="5850"/>
  </r>
  <r>
    <s v="ORD0264"/>
    <x v="263"/>
    <s v="Customer_0264"/>
    <x v="4"/>
    <x v="0"/>
    <x v="0"/>
    <x v="1"/>
    <n v="6"/>
    <n v="15000"/>
    <n v="90000"/>
    <n v="73800"/>
    <n v="16200"/>
  </r>
  <r>
    <s v="ORD0265"/>
    <x v="264"/>
    <s v="Customer_0265"/>
    <x v="6"/>
    <x v="1"/>
    <x v="1"/>
    <x v="1"/>
    <n v="1"/>
    <n v="1500"/>
    <n v="1500"/>
    <n v="1230"/>
    <n v="270"/>
  </r>
  <r>
    <s v="ORD0266"/>
    <x v="265"/>
    <s v="Customer_0266"/>
    <x v="3"/>
    <x v="1"/>
    <x v="1"/>
    <x v="2"/>
    <n v="5"/>
    <n v="3000"/>
    <n v="15000"/>
    <n v="12300"/>
    <n v="2700"/>
  </r>
  <r>
    <s v="ORD0267"/>
    <x v="266"/>
    <s v="Customer_0267"/>
    <x v="1"/>
    <x v="1"/>
    <x v="3"/>
    <x v="1"/>
    <n v="6"/>
    <n v="800"/>
    <n v="4800"/>
    <n v="3935"/>
    <n v="865"/>
  </r>
  <r>
    <s v="ORD0268"/>
    <x v="267"/>
    <s v="Customer_0268"/>
    <x v="1"/>
    <x v="1"/>
    <x v="3"/>
    <x v="3"/>
    <n v="3"/>
    <n v="800"/>
    <n v="2400"/>
    <n v="1967"/>
    <n v="433"/>
  </r>
  <r>
    <s v="ORD0269"/>
    <x v="268"/>
    <s v="Customer_0269"/>
    <x v="3"/>
    <x v="1"/>
    <x v="3"/>
    <x v="2"/>
    <n v="8"/>
    <n v="3000"/>
    <n v="24000"/>
    <n v="19680"/>
    <n v="4320"/>
  </r>
  <r>
    <s v="ORD0270"/>
    <x v="269"/>
    <s v="Customer_0270"/>
    <x v="7"/>
    <x v="3"/>
    <x v="3"/>
    <x v="3"/>
    <n v="8"/>
    <n v="6500"/>
    <n v="52000"/>
    <n v="42640"/>
    <n v="9360"/>
  </r>
  <r>
    <s v="ORD0271"/>
    <x v="270"/>
    <s v="Customer_0271"/>
    <x v="3"/>
    <x v="1"/>
    <x v="1"/>
    <x v="3"/>
    <n v="6"/>
    <n v="3000"/>
    <n v="18000"/>
    <n v="14760"/>
    <n v="3240"/>
  </r>
  <r>
    <s v="ORD0272"/>
    <x v="271"/>
    <s v="Customer_0272"/>
    <x v="6"/>
    <x v="1"/>
    <x v="3"/>
    <x v="3"/>
    <n v="8"/>
    <n v="1500"/>
    <n v="12000"/>
    <n v="9840"/>
    <n v="2160"/>
  </r>
  <r>
    <s v="ORD0273"/>
    <x v="272"/>
    <s v="Customer_0273"/>
    <x v="3"/>
    <x v="1"/>
    <x v="0"/>
    <x v="2"/>
    <n v="3"/>
    <n v="3000"/>
    <n v="9000"/>
    <n v="7380"/>
    <n v="1620"/>
  </r>
  <r>
    <s v="ORD0274"/>
    <x v="273"/>
    <s v="Customer_0274"/>
    <x v="3"/>
    <x v="1"/>
    <x v="2"/>
    <x v="4"/>
    <n v="3"/>
    <n v="3000"/>
    <n v="9000"/>
    <n v="7380"/>
    <n v="1620"/>
  </r>
  <r>
    <s v="ORD0275"/>
    <x v="274"/>
    <s v="Customer_0275"/>
    <x v="7"/>
    <x v="3"/>
    <x v="0"/>
    <x v="3"/>
    <n v="9"/>
    <n v="6500"/>
    <n v="58500"/>
    <n v="47970"/>
    <n v="10530"/>
  </r>
  <r>
    <s v="ORD0276"/>
    <x v="275"/>
    <s v="Customer_0276"/>
    <x v="6"/>
    <x v="1"/>
    <x v="2"/>
    <x v="1"/>
    <n v="7"/>
    <n v="1500"/>
    <n v="10500"/>
    <n v="8610"/>
    <n v="1890"/>
  </r>
  <r>
    <s v="ORD0277"/>
    <x v="276"/>
    <s v="Customer_0277"/>
    <x v="4"/>
    <x v="0"/>
    <x v="3"/>
    <x v="2"/>
    <n v="5"/>
    <n v="15000"/>
    <n v="75000"/>
    <n v="61499"/>
    <n v="13501"/>
  </r>
  <r>
    <s v="ORD0278"/>
    <x v="277"/>
    <s v="Customer_0278"/>
    <x v="1"/>
    <x v="1"/>
    <x v="2"/>
    <x v="2"/>
    <n v="3"/>
    <n v="800"/>
    <n v="2400"/>
    <n v="1967"/>
    <n v="433"/>
  </r>
  <r>
    <s v="ORD0279"/>
    <x v="278"/>
    <s v="Customer_0279"/>
    <x v="3"/>
    <x v="1"/>
    <x v="1"/>
    <x v="4"/>
    <n v="7"/>
    <n v="3000"/>
    <n v="21000"/>
    <n v="17220"/>
    <n v="3780"/>
  </r>
  <r>
    <s v="ORD0280"/>
    <x v="279"/>
    <s v="Customer_0280"/>
    <x v="0"/>
    <x v="0"/>
    <x v="0"/>
    <x v="4"/>
    <n v="1"/>
    <n v="50000"/>
    <n v="50000"/>
    <n v="41000"/>
    <n v="9000"/>
  </r>
  <r>
    <s v="ORD0281"/>
    <x v="280"/>
    <s v="Customer_0281"/>
    <x v="4"/>
    <x v="0"/>
    <x v="0"/>
    <x v="1"/>
    <n v="8"/>
    <n v="15000"/>
    <n v="120000"/>
    <n v="98400"/>
    <n v="21600"/>
  </r>
  <r>
    <s v="ORD0282"/>
    <x v="281"/>
    <s v="Customer_0282"/>
    <x v="0"/>
    <x v="0"/>
    <x v="2"/>
    <x v="0"/>
    <n v="7"/>
    <n v="50000"/>
    <n v="350000"/>
    <n v="287000"/>
    <n v="63000"/>
  </r>
  <r>
    <s v="ORD0283"/>
    <x v="282"/>
    <s v="Customer_0283"/>
    <x v="2"/>
    <x v="0"/>
    <x v="1"/>
    <x v="1"/>
    <n v="5"/>
    <n v="12000"/>
    <n v="60000"/>
    <n v="49200"/>
    <n v="10800"/>
  </r>
  <r>
    <s v="ORD0284"/>
    <x v="283"/>
    <s v="Customer_0284"/>
    <x v="3"/>
    <x v="1"/>
    <x v="0"/>
    <x v="2"/>
    <n v="10"/>
    <n v="3000"/>
    <n v="30000"/>
    <n v="24600"/>
    <n v="5400"/>
  </r>
  <r>
    <s v="ORD0285"/>
    <x v="284"/>
    <s v="Customer_0285"/>
    <x v="1"/>
    <x v="1"/>
    <x v="3"/>
    <x v="2"/>
    <n v="10"/>
    <n v="800"/>
    <n v="8000"/>
    <n v="6560"/>
    <n v="1440"/>
  </r>
  <r>
    <s v="ORD0286"/>
    <x v="285"/>
    <s v="Customer_0286"/>
    <x v="1"/>
    <x v="1"/>
    <x v="0"/>
    <x v="2"/>
    <n v="3"/>
    <n v="800"/>
    <n v="2400"/>
    <n v="1967"/>
    <n v="433"/>
  </r>
  <r>
    <s v="ORD0287"/>
    <x v="286"/>
    <s v="Customer_0287"/>
    <x v="5"/>
    <x v="2"/>
    <x v="2"/>
    <x v="0"/>
    <n v="10"/>
    <n v="2200"/>
    <n v="22000"/>
    <n v="18040"/>
    <n v="3960"/>
  </r>
  <r>
    <s v="ORD0288"/>
    <x v="287"/>
    <s v="Customer_0288"/>
    <x v="1"/>
    <x v="1"/>
    <x v="0"/>
    <x v="3"/>
    <n v="6"/>
    <n v="800"/>
    <n v="4800"/>
    <n v="3935"/>
    <n v="865"/>
  </r>
  <r>
    <s v="ORD0289"/>
    <x v="288"/>
    <s v="Customer_0289"/>
    <x v="4"/>
    <x v="0"/>
    <x v="3"/>
    <x v="3"/>
    <n v="10"/>
    <n v="15000"/>
    <n v="150000"/>
    <n v="122999"/>
    <n v="27001"/>
  </r>
  <r>
    <s v="ORD0290"/>
    <x v="289"/>
    <s v="Customer_0290"/>
    <x v="0"/>
    <x v="0"/>
    <x v="2"/>
    <x v="3"/>
    <n v="3"/>
    <n v="50000"/>
    <n v="150000"/>
    <n v="122999"/>
    <n v="27001"/>
  </r>
  <r>
    <s v="ORD0291"/>
    <x v="290"/>
    <s v="Customer_0291"/>
    <x v="2"/>
    <x v="0"/>
    <x v="1"/>
    <x v="1"/>
    <n v="8"/>
    <n v="12000"/>
    <n v="96000"/>
    <n v="78720"/>
    <n v="17280"/>
  </r>
  <r>
    <s v="ORD0292"/>
    <x v="291"/>
    <s v="Customer_0292"/>
    <x v="2"/>
    <x v="0"/>
    <x v="1"/>
    <x v="4"/>
    <n v="9"/>
    <n v="12000"/>
    <n v="108000"/>
    <n v="88560"/>
    <n v="19440"/>
  </r>
  <r>
    <s v="ORD0293"/>
    <x v="292"/>
    <s v="Customer_0293"/>
    <x v="6"/>
    <x v="1"/>
    <x v="1"/>
    <x v="4"/>
    <n v="8"/>
    <n v="1500"/>
    <n v="12000"/>
    <n v="9840"/>
    <n v="2160"/>
  </r>
  <r>
    <s v="ORD0294"/>
    <x v="293"/>
    <s v="Customer_0294"/>
    <x v="3"/>
    <x v="1"/>
    <x v="3"/>
    <x v="2"/>
    <n v="6"/>
    <n v="3000"/>
    <n v="18000"/>
    <n v="14760"/>
    <n v="3240"/>
  </r>
  <r>
    <s v="ORD0295"/>
    <x v="294"/>
    <s v="Customer_0295"/>
    <x v="3"/>
    <x v="1"/>
    <x v="1"/>
    <x v="1"/>
    <n v="4"/>
    <n v="3000"/>
    <n v="12000"/>
    <n v="9840"/>
    <n v="2160"/>
  </r>
  <r>
    <s v="ORD0296"/>
    <x v="295"/>
    <s v="Customer_0296"/>
    <x v="5"/>
    <x v="2"/>
    <x v="2"/>
    <x v="0"/>
    <n v="7"/>
    <n v="2200"/>
    <n v="15400"/>
    <n v="12628"/>
    <n v="2772"/>
  </r>
  <r>
    <s v="ORD0297"/>
    <x v="296"/>
    <s v="Customer_0297"/>
    <x v="6"/>
    <x v="1"/>
    <x v="3"/>
    <x v="4"/>
    <n v="8"/>
    <n v="1500"/>
    <n v="12000"/>
    <n v="9840"/>
    <n v="2160"/>
  </r>
  <r>
    <s v="ORD0298"/>
    <x v="297"/>
    <s v="Customer_0298"/>
    <x v="6"/>
    <x v="1"/>
    <x v="1"/>
    <x v="2"/>
    <n v="5"/>
    <n v="1500"/>
    <n v="7500"/>
    <n v="6150"/>
    <n v="1350"/>
  </r>
  <r>
    <s v="ORD0299"/>
    <x v="298"/>
    <s v="Customer_0299"/>
    <x v="5"/>
    <x v="2"/>
    <x v="0"/>
    <x v="0"/>
    <n v="7"/>
    <n v="2200"/>
    <n v="15400"/>
    <n v="12628"/>
    <n v="2772"/>
  </r>
  <r>
    <s v="ORD0300"/>
    <x v="299"/>
    <s v="Customer_0300"/>
    <x v="4"/>
    <x v="0"/>
    <x v="0"/>
    <x v="1"/>
    <n v="7"/>
    <n v="15000"/>
    <n v="105000"/>
    <n v="86100"/>
    <n v="18900"/>
  </r>
  <r>
    <s v="ORD0301"/>
    <x v="300"/>
    <s v="Customer_0301"/>
    <x v="6"/>
    <x v="1"/>
    <x v="0"/>
    <x v="0"/>
    <n v="8"/>
    <n v="1500"/>
    <n v="12000"/>
    <n v="9840"/>
    <n v="2160"/>
  </r>
  <r>
    <s v="ORD0302"/>
    <x v="301"/>
    <s v="Customer_0302"/>
    <x v="1"/>
    <x v="1"/>
    <x v="2"/>
    <x v="1"/>
    <n v="7"/>
    <n v="800"/>
    <n v="5600"/>
    <n v="4592"/>
    <n v="1008"/>
  </r>
  <r>
    <s v="ORD0303"/>
    <x v="302"/>
    <s v="Customer_0303"/>
    <x v="3"/>
    <x v="1"/>
    <x v="1"/>
    <x v="2"/>
    <n v="6"/>
    <n v="3000"/>
    <n v="18000"/>
    <n v="14760"/>
    <n v="3240"/>
  </r>
  <r>
    <s v="ORD0304"/>
    <x v="303"/>
    <s v="Customer_0304"/>
    <x v="5"/>
    <x v="2"/>
    <x v="2"/>
    <x v="0"/>
    <n v="7"/>
    <n v="2200"/>
    <n v="15400"/>
    <n v="12628"/>
    <n v="2772"/>
  </r>
  <r>
    <s v="ORD0305"/>
    <x v="304"/>
    <s v="Customer_0305"/>
    <x v="7"/>
    <x v="3"/>
    <x v="2"/>
    <x v="3"/>
    <n v="3"/>
    <n v="6500"/>
    <n v="19500"/>
    <n v="15989"/>
    <n v="3511"/>
  </r>
  <r>
    <s v="ORD0306"/>
    <x v="305"/>
    <s v="Customer_0306"/>
    <x v="7"/>
    <x v="3"/>
    <x v="0"/>
    <x v="3"/>
    <n v="10"/>
    <n v="6500"/>
    <n v="65000"/>
    <n v="53300"/>
    <n v="11700"/>
  </r>
  <r>
    <s v="ORD0307"/>
    <x v="306"/>
    <s v="Customer_0307"/>
    <x v="6"/>
    <x v="1"/>
    <x v="2"/>
    <x v="1"/>
    <n v="9"/>
    <n v="1500"/>
    <n v="13500"/>
    <n v="11070"/>
    <n v="2430"/>
  </r>
  <r>
    <s v="ORD0308"/>
    <x v="307"/>
    <s v="Customer_0308"/>
    <x v="3"/>
    <x v="1"/>
    <x v="2"/>
    <x v="4"/>
    <n v="7"/>
    <n v="3000"/>
    <n v="21000"/>
    <n v="17220"/>
    <n v="3780"/>
  </r>
  <r>
    <s v="ORD0309"/>
    <x v="308"/>
    <s v="Customer_0309"/>
    <x v="6"/>
    <x v="1"/>
    <x v="2"/>
    <x v="1"/>
    <n v="3"/>
    <n v="1500"/>
    <n v="4500"/>
    <n v="3690"/>
    <n v="810"/>
  </r>
  <r>
    <s v="ORD0310"/>
    <x v="309"/>
    <s v="Customer_0310"/>
    <x v="6"/>
    <x v="1"/>
    <x v="0"/>
    <x v="1"/>
    <n v="4"/>
    <n v="1500"/>
    <n v="6000"/>
    <n v="4920"/>
    <n v="1080"/>
  </r>
  <r>
    <s v="ORD0311"/>
    <x v="310"/>
    <s v="Customer_0311"/>
    <x v="4"/>
    <x v="0"/>
    <x v="0"/>
    <x v="4"/>
    <n v="3"/>
    <n v="15000"/>
    <n v="45000"/>
    <n v="36900"/>
    <n v="8100"/>
  </r>
  <r>
    <s v="ORD0312"/>
    <x v="311"/>
    <s v="Customer_0312"/>
    <x v="1"/>
    <x v="1"/>
    <x v="2"/>
    <x v="0"/>
    <n v="1"/>
    <n v="800"/>
    <n v="800"/>
    <n v="656"/>
    <n v="144"/>
  </r>
  <r>
    <s v="ORD0313"/>
    <x v="312"/>
    <s v="Customer_0313"/>
    <x v="0"/>
    <x v="0"/>
    <x v="0"/>
    <x v="1"/>
    <n v="3"/>
    <n v="50000"/>
    <n v="150000"/>
    <n v="122999"/>
    <n v="27001"/>
  </r>
  <r>
    <s v="ORD0314"/>
    <x v="313"/>
    <s v="Customer_0314"/>
    <x v="0"/>
    <x v="0"/>
    <x v="3"/>
    <x v="4"/>
    <n v="9"/>
    <n v="50000"/>
    <n v="450000"/>
    <n v="369000"/>
    <n v="81000"/>
  </r>
  <r>
    <s v="ORD0315"/>
    <x v="314"/>
    <s v="Customer_0315"/>
    <x v="5"/>
    <x v="2"/>
    <x v="3"/>
    <x v="4"/>
    <n v="3"/>
    <n v="2200"/>
    <n v="6600"/>
    <n v="5412"/>
    <n v="1188"/>
  </r>
  <r>
    <s v="ORD0316"/>
    <x v="315"/>
    <s v="Customer_0316"/>
    <x v="6"/>
    <x v="1"/>
    <x v="0"/>
    <x v="2"/>
    <n v="5"/>
    <n v="1500"/>
    <n v="7500"/>
    <n v="6150"/>
    <n v="1350"/>
  </r>
  <r>
    <s v="ORD0317"/>
    <x v="316"/>
    <s v="Customer_0317"/>
    <x v="4"/>
    <x v="0"/>
    <x v="3"/>
    <x v="2"/>
    <n v="1"/>
    <n v="15000"/>
    <n v="15000"/>
    <n v="12300"/>
    <n v="2700"/>
  </r>
  <r>
    <s v="ORD0318"/>
    <x v="317"/>
    <s v="Customer_0318"/>
    <x v="1"/>
    <x v="1"/>
    <x v="1"/>
    <x v="3"/>
    <n v="6"/>
    <n v="800"/>
    <n v="4800"/>
    <n v="3935"/>
    <n v="865"/>
  </r>
  <r>
    <s v="ORD0319"/>
    <x v="318"/>
    <s v="Customer_0319"/>
    <x v="7"/>
    <x v="3"/>
    <x v="0"/>
    <x v="1"/>
    <n v="7"/>
    <n v="6500"/>
    <n v="45500"/>
    <n v="37310"/>
    <n v="8190"/>
  </r>
  <r>
    <s v="ORD0320"/>
    <x v="319"/>
    <s v="Customer_0320"/>
    <x v="5"/>
    <x v="2"/>
    <x v="1"/>
    <x v="3"/>
    <n v="1"/>
    <n v="2200"/>
    <n v="2200"/>
    <n v="1804"/>
    <n v="396"/>
  </r>
  <r>
    <s v="ORD0321"/>
    <x v="320"/>
    <s v="Customer_0321"/>
    <x v="7"/>
    <x v="3"/>
    <x v="0"/>
    <x v="0"/>
    <n v="3"/>
    <n v="6500"/>
    <n v="19500"/>
    <n v="15989"/>
    <n v="3511"/>
  </r>
  <r>
    <s v="ORD0322"/>
    <x v="321"/>
    <s v="Customer_0322"/>
    <x v="2"/>
    <x v="0"/>
    <x v="1"/>
    <x v="3"/>
    <n v="1"/>
    <n v="12000"/>
    <n v="12000"/>
    <n v="9840"/>
    <n v="2160"/>
  </r>
  <r>
    <s v="ORD0323"/>
    <x v="322"/>
    <s v="Customer_0323"/>
    <x v="2"/>
    <x v="0"/>
    <x v="0"/>
    <x v="0"/>
    <n v="8"/>
    <n v="12000"/>
    <n v="96000"/>
    <n v="78720"/>
    <n v="17280"/>
  </r>
  <r>
    <s v="ORD0324"/>
    <x v="323"/>
    <s v="Customer_0324"/>
    <x v="3"/>
    <x v="1"/>
    <x v="2"/>
    <x v="3"/>
    <n v="6"/>
    <n v="3000"/>
    <n v="18000"/>
    <n v="14760"/>
    <n v="3240"/>
  </r>
  <r>
    <s v="ORD0325"/>
    <x v="324"/>
    <s v="Customer_0325"/>
    <x v="0"/>
    <x v="0"/>
    <x v="3"/>
    <x v="3"/>
    <n v="3"/>
    <n v="50000"/>
    <n v="150000"/>
    <n v="122999"/>
    <n v="27001"/>
  </r>
  <r>
    <s v="ORD0326"/>
    <x v="325"/>
    <s v="Customer_0326"/>
    <x v="7"/>
    <x v="3"/>
    <x v="1"/>
    <x v="4"/>
    <n v="8"/>
    <n v="6500"/>
    <n v="52000"/>
    <n v="42640"/>
    <n v="9360"/>
  </r>
  <r>
    <s v="ORD0327"/>
    <x v="326"/>
    <s v="Customer_0327"/>
    <x v="4"/>
    <x v="0"/>
    <x v="2"/>
    <x v="0"/>
    <n v="5"/>
    <n v="15000"/>
    <n v="75000"/>
    <n v="61499"/>
    <n v="13501"/>
  </r>
  <r>
    <s v="ORD0328"/>
    <x v="327"/>
    <s v="Customer_0328"/>
    <x v="1"/>
    <x v="1"/>
    <x v="2"/>
    <x v="0"/>
    <n v="6"/>
    <n v="800"/>
    <n v="4800"/>
    <n v="3935"/>
    <n v="865"/>
  </r>
  <r>
    <s v="ORD0329"/>
    <x v="328"/>
    <s v="Customer_0329"/>
    <x v="6"/>
    <x v="1"/>
    <x v="0"/>
    <x v="1"/>
    <n v="4"/>
    <n v="1500"/>
    <n v="6000"/>
    <n v="4920"/>
    <n v="1080"/>
  </r>
  <r>
    <s v="ORD0330"/>
    <x v="329"/>
    <s v="Customer_0330"/>
    <x v="7"/>
    <x v="3"/>
    <x v="3"/>
    <x v="2"/>
    <n v="1"/>
    <n v="6500"/>
    <n v="6500"/>
    <n v="5330"/>
    <n v="1170"/>
  </r>
  <r>
    <s v="ORD0331"/>
    <x v="330"/>
    <s v="Customer_0331"/>
    <x v="1"/>
    <x v="1"/>
    <x v="1"/>
    <x v="2"/>
    <n v="1"/>
    <n v="800"/>
    <n v="800"/>
    <n v="656"/>
    <n v="144"/>
  </r>
  <r>
    <s v="ORD0332"/>
    <x v="331"/>
    <s v="Customer_0332"/>
    <x v="7"/>
    <x v="3"/>
    <x v="3"/>
    <x v="2"/>
    <n v="9"/>
    <n v="6500"/>
    <n v="58500"/>
    <n v="47970"/>
    <n v="10530"/>
  </r>
  <r>
    <s v="ORD0333"/>
    <x v="332"/>
    <s v="Customer_0333"/>
    <x v="5"/>
    <x v="2"/>
    <x v="1"/>
    <x v="3"/>
    <n v="8"/>
    <n v="2200"/>
    <n v="17600"/>
    <n v="14432"/>
    <n v="3168"/>
  </r>
  <r>
    <s v="ORD0334"/>
    <x v="333"/>
    <s v="Customer_0334"/>
    <x v="4"/>
    <x v="0"/>
    <x v="1"/>
    <x v="2"/>
    <n v="9"/>
    <n v="15000"/>
    <n v="135000"/>
    <n v="110700"/>
    <n v="24300"/>
  </r>
  <r>
    <s v="ORD0335"/>
    <x v="334"/>
    <s v="Customer_0335"/>
    <x v="5"/>
    <x v="2"/>
    <x v="0"/>
    <x v="1"/>
    <n v="1"/>
    <n v="2200"/>
    <n v="2200"/>
    <n v="1804"/>
    <n v="396"/>
  </r>
  <r>
    <s v="ORD0336"/>
    <x v="335"/>
    <s v="Customer_0336"/>
    <x v="1"/>
    <x v="1"/>
    <x v="1"/>
    <x v="4"/>
    <n v="3"/>
    <n v="800"/>
    <n v="2400"/>
    <n v="1967"/>
    <n v="433"/>
  </r>
  <r>
    <s v="ORD0337"/>
    <x v="336"/>
    <s v="Customer_0337"/>
    <x v="0"/>
    <x v="0"/>
    <x v="0"/>
    <x v="3"/>
    <n v="5"/>
    <n v="50000"/>
    <n v="250000"/>
    <n v="205000"/>
    <n v="45000"/>
  </r>
  <r>
    <s v="ORD0338"/>
    <x v="337"/>
    <s v="Customer_0338"/>
    <x v="3"/>
    <x v="1"/>
    <x v="1"/>
    <x v="3"/>
    <n v="2"/>
    <n v="3000"/>
    <n v="6000"/>
    <n v="4920"/>
    <n v="1080"/>
  </r>
  <r>
    <s v="ORD0339"/>
    <x v="338"/>
    <s v="Customer_0339"/>
    <x v="3"/>
    <x v="1"/>
    <x v="0"/>
    <x v="2"/>
    <n v="7"/>
    <n v="3000"/>
    <n v="21000"/>
    <n v="17220"/>
    <n v="3780"/>
  </r>
  <r>
    <s v="ORD0340"/>
    <x v="339"/>
    <s v="Customer_0340"/>
    <x v="4"/>
    <x v="0"/>
    <x v="2"/>
    <x v="2"/>
    <n v="8"/>
    <n v="15000"/>
    <n v="120000"/>
    <n v="98400"/>
    <n v="21600"/>
  </r>
  <r>
    <s v="ORD0341"/>
    <x v="340"/>
    <s v="Customer_0341"/>
    <x v="0"/>
    <x v="0"/>
    <x v="0"/>
    <x v="3"/>
    <n v="1"/>
    <n v="50000"/>
    <n v="50000"/>
    <n v="41000"/>
    <n v="9000"/>
  </r>
  <r>
    <s v="ORD0342"/>
    <x v="341"/>
    <s v="Customer_0342"/>
    <x v="3"/>
    <x v="1"/>
    <x v="3"/>
    <x v="1"/>
    <n v="7"/>
    <n v="3000"/>
    <n v="21000"/>
    <n v="17220"/>
    <n v="3780"/>
  </r>
  <r>
    <s v="ORD0343"/>
    <x v="342"/>
    <s v="Customer_0343"/>
    <x v="7"/>
    <x v="3"/>
    <x v="1"/>
    <x v="1"/>
    <n v="7"/>
    <n v="6500"/>
    <n v="45500"/>
    <n v="37310"/>
    <n v="8190"/>
  </r>
  <r>
    <s v="ORD0344"/>
    <x v="343"/>
    <s v="Customer_0344"/>
    <x v="2"/>
    <x v="0"/>
    <x v="3"/>
    <x v="0"/>
    <n v="4"/>
    <n v="12000"/>
    <n v="48000"/>
    <n v="39360"/>
    <n v="8640"/>
  </r>
  <r>
    <s v="ORD0345"/>
    <x v="344"/>
    <s v="Customer_0345"/>
    <x v="6"/>
    <x v="1"/>
    <x v="0"/>
    <x v="0"/>
    <n v="9"/>
    <n v="1500"/>
    <n v="13500"/>
    <n v="11070"/>
    <n v="2430"/>
  </r>
  <r>
    <s v="ORD0346"/>
    <x v="345"/>
    <s v="Customer_0346"/>
    <x v="2"/>
    <x v="0"/>
    <x v="2"/>
    <x v="2"/>
    <n v="1"/>
    <n v="12000"/>
    <n v="12000"/>
    <n v="9840"/>
    <n v="2160"/>
  </r>
  <r>
    <s v="ORD0347"/>
    <x v="346"/>
    <s v="Customer_0347"/>
    <x v="6"/>
    <x v="1"/>
    <x v="3"/>
    <x v="2"/>
    <n v="9"/>
    <n v="1500"/>
    <n v="13500"/>
    <n v="11070"/>
    <n v="2430"/>
  </r>
  <r>
    <s v="ORD0348"/>
    <x v="347"/>
    <s v="Customer_0348"/>
    <x v="3"/>
    <x v="1"/>
    <x v="2"/>
    <x v="1"/>
    <n v="2"/>
    <n v="3000"/>
    <n v="6000"/>
    <n v="4920"/>
    <n v="1080"/>
  </r>
  <r>
    <s v="ORD0349"/>
    <x v="348"/>
    <s v="Customer_0349"/>
    <x v="2"/>
    <x v="0"/>
    <x v="2"/>
    <x v="0"/>
    <n v="4"/>
    <n v="12000"/>
    <n v="48000"/>
    <n v="39360"/>
    <n v="8640"/>
  </r>
  <r>
    <s v="ORD0350"/>
    <x v="349"/>
    <s v="Customer_0350"/>
    <x v="2"/>
    <x v="0"/>
    <x v="1"/>
    <x v="2"/>
    <n v="3"/>
    <n v="12000"/>
    <n v="36000"/>
    <n v="29520"/>
    <n v="6480"/>
  </r>
  <r>
    <s v="ORD0351"/>
    <x v="350"/>
    <s v="Customer_0351"/>
    <x v="0"/>
    <x v="0"/>
    <x v="0"/>
    <x v="4"/>
    <n v="6"/>
    <n v="50000"/>
    <n v="300000"/>
    <n v="245999"/>
    <n v="54001"/>
  </r>
  <r>
    <s v="ORD0352"/>
    <x v="351"/>
    <s v="Customer_0352"/>
    <x v="4"/>
    <x v="0"/>
    <x v="0"/>
    <x v="3"/>
    <n v="10"/>
    <n v="15000"/>
    <n v="150000"/>
    <n v="122999"/>
    <n v="27001"/>
  </r>
  <r>
    <s v="ORD0353"/>
    <x v="352"/>
    <s v="Customer_0353"/>
    <x v="2"/>
    <x v="0"/>
    <x v="1"/>
    <x v="3"/>
    <n v="4"/>
    <n v="12000"/>
    <n v="48000"/>
    <n v="39360"/>
    <n v="8640"/>
  </r>
  <r>
    <s v="ORD0354"/>
    <x v="353"/>
    <s v="Customer_0354"/>
    <x v="4"/>
    <x v="0"/>
    <x v="2"/>
    <x v="4"/>
    <n v="7"/>
    <n v="15000"/>
    <n v="105000"/>
    <n v="86100"/>
    <n v="18900"/>
  </r>
  <r>
    <s v="ORD0355"/>
    <x v="354"/>
    <s v="Customer_0355"/>
    <x v="2"/>
    <x v="0"/>
    <x v="2"/>
    <x v="0"/>
    <n v="10"/>
    <n v="12000"/>
    <n v="120000"/>
    <n v="98400"/>
    <n v="21600"/>
  </r>
  <r>
    <s v="ORD0356"/>
    <x v="355"/>
    <s v="Customer_0356"/>
    <x v="1"/>
    <x v="1"/>
    <x v="2"/>
    <x v="2"/>
    <n v="7"/>
    <n v="800"/>
    <n v="5600"/>
    <n v="4592"/>
    <n v="1008"/>
  </r>
  <r>
    <s v="ORD0357"/>
    <x v="356"/>
    <s v="Customer_0357"/>
    <x v="0"/>
    <x v="0"/>
    <x v="3"/>
    <x v="1"/>
    <n v="5"/>
    <n v="50000"/>
    <n v="250000"/>
    <n v="205000"/>
    <n v="45000"/>
  </r>
  <r>
    <s v="ORD0358"/>
    <x v="357"/>
    <s v="Customer_0358"/>
    <x v="0"/>
    <x v="0"/>
    <x v="0"/>
    <x v="4"/>
    <n v="5"/>
    <n v="50000"/>
    <n v="250000"/>
    <n v="205000"/>
    <n v="45000"/>
  </r>
  <r>
    <s v="ORD0359"/>
    <x v="358"/>
    <s v="Customer_0359"/>
    <x v="2"/>
    <x v="0"/>
    <x v="3"/>
    <x v="1"/>
    <n v="10"/>
    <n v="12000"/>
    <n v="120000"/>
    <n v="98400"/>
    <n v="21600"/>
  </r>
  <r>
    <s v="ORD0360"/>
    <x v="359"/>
    <s v="Customer_0360"/>
    <x v="5"/>
    <x v="2"/>
    <x v="3"/>
    <x v="1"/>
    <n v="1"/>
    <n v="2200"/>
    <n v="2200"/>
    <n v="1804"/>
    <n v="396"/>
  </r>
  <r>
    <s v="ORD0361"/>
    <x v="360"/>
    <s v="Customer_0361"/>
    <x v="0"/>
    <x v="0"/>
    <x v="1"/>
    <x v="4"/>
    <n v="1"/>
    <n v="50000"/>
    <n v="50000"/>
    <n v="41000"/>
    <n v="9000"/>
  </r>
  <r>
    <s v="ORD0362"/>
    <x v="361"/>
    <s v="Customer_0362"/>
    <x v="6"/>
    <x v="1"/>
    <x v="3"/>
    <x v="3"/>
    <n v="7"/>
    <n v="1500"/>
    <n v="10500"/>
    <n v="8610"/>
    <n v="1890"/>
  </r>
  <r>
    <s v="ORD0363"/>
    <x v="362"/>
    <s v="Customer_0363"/>
    <x v="4"/>
    <x v="0"/>
    <x v="1"/>
    <x v="4"/>
    <n v="6"/>
    <n v="15000"/>
    <n v="90000"/>
    <n v="73800"/>
    <n v="16200"/>
  </r>
  <r>
    <s v="ORD0364"/>
    <x v="363"/>
    <s v="Customer_0364"/>
    <x v="5"/>
    <x v="2"/>
    <x v="0"/>
    <x v="2"/>
    <n v="2"/>
    <n v="2200"/>
    <n v="4400"/>
    <n v="3608"/>
    <n v="792"/>
  </r>
  <r>
    <s v="ORD0365"/>
    <x v="364"/>
    <s v="Customer_0365"/>
    <x v="0"/>
    <x v="0"/>
    <x v="0"/>
    <x v="4"/>
    <n v="4"/>
    <n v="50000"/>
    <n v="200000"/>
    <n v="164000"/>
    <n v="36000"/>
  </r>
  <r>
    <s v="ORD0366"/>
    <x v="0"/>
    <s v="Customer_0366"/>
    <x v="0"/>
    <x v="0"/>
    <x v="0"/>
    <x v="2"/>
    <n v="4"/>
    <n v="50000"/>
    <n v="200000"/>
    <n v="164000"/>
    <n v="36000"/>
  </r>
  <r>
    <s v="ORD0367"/>
    <x v="1"/>
    <s v="Customer_0367"/>
    <x v="7"/>
    <x v="3"/>
    <x v="0"/>
    <x v="0"/>
    <n v="5"/>
    <n v="6500"/>
    <n v="32500"/>
    <n v="26650"/>
    <n v="5850"/>
  </r>
  <r>
    <s v="ORD0368"/>
    <x v="2"/>
    <s v="Customer_0368"/>
    <x v="6"/>
    <x v="1"/>
    <x v="1"/>
    <x v="2"/>
    <n v="7"/>
    <n v="1500"/>
    <n v="10500"/>
    <n v="8610"/>
    <n v="1890"/>
  </r>
  <r>
    <s v="ORD0369"/>
    <x v="3"/>
    <s v="Customer_0369"/>
    <x v="4"/>
    <x v="0"/>
    <x v="1"/>
    <x v="0"/>
    <n v="3"/>
    <n v="15000"/>
    <n v="45000"/>
    <n v="36900"/>
    <n v="8100"/>
  </r>
  <r>
    <s v="ORD0370"/>
    <x v="4"/>
    <s v="Customer_0370"/>
    <x v="6"/>
    <x v="1"/>
    <x v="3"/>
    <x v="2"/>
    <n v="2"/>
    <n v="1500"/>
    <n v="3000"/>
    <n v="2460"/>
    <n v="540"/>
  </r>
  <r>
    <s v="ORD0371"/>
    <x v="5"/>
    <s v="Customer_0371"/>
    <x v="4"/>
    <x v="0"/>
    <x v="2"/>
    <x v="3"/>
    <n v="3"/>
    <n v="15000"/>
    <n v="45000"/>
    <n v="36900"/>
    <n v="8100"/>
  </r>
  <r>
    <s v="ORD0372"/>
    <x v="6"/>
    <s v="Customer_0372"/>
    <x v="5"/>
    <x v="2"/>
    <x v="3"/>
    <x v="0"/>
    <n v="3"/>
    <n v="2200"/>
    <n v="6600"/>
    <n v="5412"/>
    <n v="1188"/>
  </r>
  <r>
    <s v="ORD0373"/>
    <x v="7"/>
    <s v="Customer_0373"/>
    <x v="7"/>
    <x v="3"/>
    <x v="2"/>
    <x v="1"/>
    <n v="4"/>
    <n v="6500"/>
    <n v="26000"/>
    <n v="21320"/>
    <n v="4680"/>
  </r>
  <r>
    <s v="ORD0374"/>
    <x v="8"/>
    <s v="Customer_0374"/>
    <x v="5"/>
    <x v="2"/>
    <x v="3"/>
    <x v="4"/>
    <n v="10"/>
    <n v="2200"/>
    <n v="22000"/>
    <n v="18040"/>
    <n v="3960"/>
  </r>
  <r>
    <s v="ORD0375"/>
    <x v="9"/>
    <s v="Customer_0375"/>
    <x v="1"/>
    <x v="1"/>
    <x v="2"/>
    <x v="2"/>
    <n v="8"/>
    <n v="800"/>
    <n v="6400"/>
    <n v="5248"/>
    <n v="1152"/>
  </r>
  <r>
    <s v="ORD0376"/>
    <x v="10"/>
    <s v="Customer_0376"/>
    <x v="2"/>
    <x v="0"/>
    <x v="1"/>
    <x v="3"/>
    <n v="8"/>
    <n v="12000"/>
    <n v="96000"/>
    <n v="78720"/>
    <n v="17280"/>
  </r>
  <r>
    <s v="ORD0377"/>
    <x v="11"/>
    <s v="Customer_0377"/>
    <x v="5"/>
    <x v="2"/>
    <x v="2"/>
    <x v="3"/>
    <n v="5"/>
    <n v="2200"/>
    <n v="11000"/>
    <n v="9020"/>
    <n v="1980"/>
  </r>
  <r>
    <s v="ORD0378"/>
    <x v="12"/>
    <s v="Customer_0378"/>
    <x v="5"/>
    <x v="2"/>
    <x v="1"/>
    <x v="4"/>
    <n v="2"/>
    <n v="2200"/>
    <n v="4400"/>
    <n v="3608"/>
    <n v="792"/>
  </r>
  <r>
    <s v="ORD0379"/>
    <x v="13"/>
    <s v="Customer_0379"/>
    <x v="6"/>
    <x v="1"/>
    <x v="3"/>
    <x v="2"/>
    <n v="2"/>
    <n v="1500"/>
    <n v="3000"/>
    <n v="2460"/>
    <n v="540"/>
  </r>
  <r>
    <s v="ORD0380"/>
    <x v="14"/>
    <s v="Customer_0380"/>
    <x v="1"/>
    <x v="1"/>
    <x v="0"/>
    <x v="4"/>
    <n v="8"/>
    <n v="800"/>
    <n v="6400"/>
    <n v="5248"/>
    <n v="1152"/>
  </r>
  <r>
    <s v="ORD0381"/>
    <x v="15"/>
    <s v="Customer_0381"/>
    <x v="1"/>
    <x v="1"/>
    <x v="2"/>
    <x v="3"/>
    <n v="2"/>
    <n v="800"/>
    <n v="1600"/>
    <n v="1312"/>
    <n v="288"/>
  </r>
  <r>
    <s v="ORD0382"/>
    <x v="16"/>
    <s v="Customer_0382"/>
    <x v="1"/>
    <x v="1"/>
    <x v="3"/>
    <x v="0"/>
    <n v="9"/>
    <n v="800"/>
    <n v="7200"/>
    <n v="5904"/>
    <n v="1296"/>
  </r>
  <r>
    <s v="ORD0383"/>
    <x v="17"/>
    <s v="Customer_0383"/>
    <x v="5"/>
    <x v="2"/>
    <x v="3"/>
    <x v="3"/>
    <n v="4"/>
    <n v="2200"/>
    <n v="8800"/>
    <n v="7216"/>
    <n v="1584"/>
  </r>
  <r>
    <s v="ORD0384"/>
    <x v="18"/>
    <s v="Customer_0384"/>
    <x v="0"/>
    <x v="0"/>
    <x v="3"/>
    <x v="0"/>
    <n v="3"/>
    <n v="50000"/>
    <n v="150000"/>
    <n v="122999"/>
    <n v="27001"/>
  </r>
  <r>
    <s v="ORD0385"/>
    <x v="19"/>
    <s v="Customer_0385"/>
    <x v="6"/>
    <x v="1"/>
    <x v="1"/>
    <x v="0"/>
    <n v="10"/>
    <n v="1500"/>
    <n v="15000"/>
    <n v="12300"/>
    <n v="2700"/>
  </r>
  <r>
    <s v="ORD0386"/>
    <x v="20"/>
    <s v="Customer_0386"/>
    <x v="1"/>
    <x v="1"/>
    <x v="1"/>
    <x v="3"/>
    <n v="10"/>
    <n v="800"/>
    <n v="8000"/>
    <n v="6560"/>
    <n v="1440"/>
  </r>
  <r>
    <s v="ORD0387"/>
    <x v="21"/>
    <s v="Customer_0387"/>
    <x v="5"/>
    <x v="2"/>
    <x v="3"/>
    <x v="2"/>
    <n v="8"/>
    <n v="2200"/>
    <n v="17600"/>
    <n v="14432"/>
    <n v="3168"/>
  </r>
  <r>
    <s v="ORD0388"/>
    <x v="22"/>
    <s v="Customer_0388"/>
    <x v="7"/>
    <x v="3"/>
    <x v="0"/>
    <x v="2"/>
    <n v="3"/>
    <n v="6500"/>
    <n v="19500"/>
    <n v="15989"/>
    <n v="3511"/>
  </r>
  <r>
    <s v="ORD0389"/>
    <x v="23"/>
    <s v="Customer_0389"/>
    <x v="0"/>
    <x v="0"/>
    <x v="3"/>
    <x v="0"/>
    <n v="6"/>
    <n v="50000"/>
    <n v="300000"/>
    <n v="245999"/>
    <n v="54001"/>
  </r>
  <r>
    <s v="ORD0390"/>
    <x v="24"/>
    <s v="Customer_0390"/>
    <x v="5"/>
    <x v="2"/>
    <x v="1"/>
    <x v="1"/>
    <n v="5"/>
    <n v="2200"/>
    <n v="11000"/>
    <n v="9020"/>
    <n v="1980"/>
  </r>
  <r>
    <s v="ORD0391"/>
    <x v="25"/>
    <s v="Customer_0391"/>
    <x v="7"/>
    <x v="3"/>
    <x v="2"/>
    <x v="1"/>
    <n v="7"/>
    <n v="6500"/>
    <n v="45500"/>
    <n v="37310"/>
    <n v="8190"/>
  </r>
  <r>
    <s v="ORD0392"/>
    <x v="26"/>
    <s v="Customer_0392"/>
    <x v="5"/>
    <x v="2"/>
    <x v="2"/>
    <x v="0"/>
    <n v="9"/>
    <n v="2200"/>
    <n v="19800"/>
    <n v="16235"/>
    <n v="3565"/>
  </r>
  <r>
    <s v="ORD0393"/>
    <x v="27"/>
    <s v="Customer_0393"/>
    <x v="7"/>
    <x v="3"/>
    <x v="1"/>
    <x v="4"/>
    <n v="9"/>
    <n v="6500"/>
    <n v="58500"/>
    <n v="47970"/>
    <n v="10530"/>
  </r>
  <r>
    <s v="ORD0394"/>
    <x v="28"/>
    <s v="Customer_0394"/>
    <x v="6"/>
    <x v="1"/>
    <x v="2"/>
    <x v="0"/>
    <n v="10"/>
    <n v="1500"/>
    <n v="15000"/>
    <n v="12300"/>
    <n v="2700"/>
  </r>
  <r>
    <s v="ORD0395"/>
    <x v="29"/>
    <s v="Customer_0395"/>
    <x v="6"/>
    <x v="1"/>
    <x v="1"/>
    <x v="2"/>
    <n v="7"/>
    <n v="1500"/>
    <n v="10500"/>
    <n v="8610"/>
    <n v="1890"/>
  </r>
  <r>
    <s v="ORD0396"/>
    <x v="30"/>
    <s v="Customer_0396"/>
    <x v="1"/>
    <x v="1"/>
    <x v="2"/>
    <x v="4"/>
    <n v="6"/>
    <n v="800"/>
    <n v="4800"/>
    <n v="3935"/>
    <n v="865"/>
  </r>
  <r>
    <s v="ORD0397"/>
    <x v="31"/>
    <s v="Customer_0397"/>
    <x v="2"/>
    <x v="0"/>
    <x v="3"/>
    <x v="2"/>
    <n v="7"/>
    <n v="12000"/>
    <n v="84000"/>
    <n v="68880"/>
    <n v="15120"/>
  </r>
  <r>
    <s v="ORD0398"/>
    <x v="32"/>
    <s v="Customer_0398"/>
    <x v="4"/>
    <x v="0"/>
    <x v="1"/>
    <x v="3"/>
    <n v="10"/>
    <n v="15000"/>
    <n v="150000"/>
    <n v="122999"/>
    <n v="27001"/>
  </r>
  <r>
    <s v="ORD0399"/>
    <x v="33"/>
    <s v="Customer_0399"/>
    <x v="0"/>
    <x v="0"/>
    <x v="0"/>
    <x v="2"/>
    <n v="9"/>
    <n v="50000"/>
    <n v="450000"/>
    <n v="369000"/>
    <n v="81000"/>
  </r>
  <r>
    <s v="ORD0400"/>
    <x v="34"/>
    <s v="Customer_0400"/>
    <x v="6"/>
    <x v="1"/>
    <x v="2"/>
    <x v="3"/>
    <n v="5"/>
    <n v="1500"/>
    <n v="7500"/>
    <n v="6150"/>
    <n v="1350"/>
  </r>
  <r>
    <s v="ORD0401"/>
    <x v="35"/>
    <s v="Customer_0401"/>
    <x v="2"/>
    <x v="0"/>
    <x v="1"/>
    <x v="3"/>
    <n v="2"/>
    <n v="12000"/>
    <n v="24000"/>
    <n v="19680"/>
    <n v="4320"/>
  </r>
  <r>
    <s v="ORD0402"/>
    <x v="36"/>
    <s v="Customer_0402"/>
    <x v="1"/>
    <x v="1"/>
    <x v="0"/>
    <x v="1"/>
    <n v="2"/>
    <n v="800"/>
    <n v="1600"/>
    <n v="1312"/>
    <n v="288"/>
  </r>
  <r>
    <s v="ORD0403"/>
    <x v="37"/>
    <s v="Customer_0403"/>
    <x v="2"/>
    <x v="0"/>
    <x v="3"/>
    <x v="2"/>
    <n v="6"/>
    <n v="12000"/>
    <n v="72000"/>
    <n v="59040"/>
    <n v="12960"/>
  </r>
  <r>
    <s v="ORD0404"/>
    <x v="38"/>
    <s v="Customer_0404"/>
    <x v="2"/>
    <x v="0"/>
    <x v="0"/>
    <x v="0"/>
    <n v="2"/>
    <n v="12000"/>
    <n v="24000"/>
    <n v="19680"/>
    <n v="4320"/>
  </r>
  <r>
    <s v="ORD0405"/>
    <x v="39"/>
    <s v="Customer_0405"/>
    <x v="4"/>
    <x v="0"/>
    <x v="2"/>
    <x v="1"/>
    <n v="6"/>
    <n v="15000"/>
    <n v="90000"/>
    <n v="73800"/>
    <n v="16200"/>
  </r>
  <r>
    <s v="ORD0406"/>
    <x v="40"/>
    <s v="Customer_0406"/>
    <x v="0"/>
    <x v="0"/>
    <x v="2"/>
    <x v="2"/>
    <n v="9"/>
    <n v="50000"/>
    <n v="450000"/>
    <n v="369000"/>
    <n v="81000"/>
  </r>
  <r>
    <s v="ORD0407"/>
    <x v="41"/>
    <s v="Customer_0407"/>
    <x v="3"/>
    <x v="1"/>
    <x v="1"/>
    <x v="0"/>
    <n v="6"/>
    <n v="3000"/>
    <n v="18000"/>
    <n v="14760"/>
    <n v="3240"/>
  </r>
  <r>
    <s v="ORD0408"/>
    <x v="42"/>
    <s v="Customer_0408"/>
    <x v="0"/>
    <x v="0"/>
    <x v="0"/>
    <x v="1"/>
    <n v="1"/>
    <n v="50000"/>
    <n v="50000"/>
    <n v="41000"/>
    <n v="9000"/>
  </r>
  <r>
    <s v="ORD0409"/>
    <x v="43"/>
    <s v="Customer_0409"/>
    <x v="4"/>
    <x v="0"/>
    <x v="0"/>
    <x v="1"/>
    <n v="2"/>
    <n v="15000"/>
    <n v="30000"/>
    <n v="24600"/>
    <n v="5400"/>
  </r>
  <r>
    <s v="ORD0410"/>
    <x v="44"/>
    <s v="Customer_0410"/>
    <x v="2"/>
    <x v="0"/>
    <x v="1"/>
    <x v="0"/>
    <n v="2"/>
    <n v="12000"/>
    <n v="24000"/>
    <n v="19680"/>
    <n v="4320"/>
  </r>
  <r>
    <s v="ORD0411"/>
    <x v="45"/>
    <s v="Customer_0411"/>
    <x v="5"/>
    <x v="2"/>
    <x v="1"/>
    <x v="1"/>
    <n v="3"/>
    <n v="2200"/>
    <n v="6600"/>
    <n v="5412"/>
    <n v="1188"/>
  </r>
  <r>
    <s v="ORD0412"/>
    <x v="46"/>
    <s v="Customer_0412"/>
    <x v="1"/>
    <x v="1"/>
    <x v="0"/>
    <x v="2"/>
    <n v="10"/>
    <n v="800"/>
    <n v="8000"/>
    <n v="6560"/>
    <n v="1440"/>
  </r>
  <r>
    <s v="ORD0413"/>
    <x v="47"/>
    <s v="Customer_0413"/>
    <x v="6"/>
    <x v="1"/>
    <x v="2"/>
    <x v="2"/>
    <n v="6"/>
    <n v="1500"/>
    <n v="9000"/>
    <n v="7380"/>
    <n v="1620"/>
  </r>
  <r>
    <s v="ORD0414"/>
    <x v="48"/>
    <s v="Customer_0414"/>
    <x v="0"/>
    <x v="0"/>
    <x v="3"/>
    <x v="4"/>
    <n v="10"/>
    <n v="50000"/>
    <n v="500000"/>
    <n v="410000"/>
    <n v="90000"/>
  </r>
  <r>
    <s v="ORD0415"/>
    <x v="49"/>
    <s v="Customer_0415"/>
    <x v="4"/>
    <x v="0"/>
    <x v="1"/>
    <x v="3"/>
    <n v="4"/>
    <n v="15000"/>
    <n v="60000"/>
    <n v="49200"/>
    <n v="10800"/>
  </r>
  <r>
    <s v="ORD0416"/>
    <x v="50"/>
    <s v="Customer_0416"/>
    <x v="4"/>
    <x v="0"/>
    <x v="3"/>
    <x v="1"/>
    <n v="7"/>
    <n v="15000"/>
    <n v="105000"/>
    <n v="86100"/>
    <n v="18900"/>
  </r>
  <r>
    <s v="ORD0417"/>
    <x v="51"/>
    <s v="Customer_0417"/>
    <x v="3"/>
    <x v="1"/>
    <x v="2"/>
    <x v="0"/>
    <n v="7"/>
    <n v="3000"/>
    <n v="21000"/>
    <n v="17220"/>
    <n v="3780"/>
  </r>
  <r>
    <s v="ORD0418"/>
    <x v="52"/>
    <s v="Customer_0418"/>
    <x v="4"/>
    <x v="0"/>
    <x v="0"/>
    <x v="0"/>
    <n v="6"/>
    <n v="15000"/>
    <n v="90000"/>
    <n v="73800"/>
    <n v="16200"/>
  </r>
  <r>
    <s v="ORD0419"/>
    <x v="53"/>
    <s v="Customer_0419"/>
    <x v="6"/>
    <x v="1"/>
    <x v="1"/>
    <x v="0"/>
    <n v="3"/>
    <n v="1500"/>
    <n v="4500"/>
    <n v="3690"/>
    <n v="810"/>
  </r>
  <r>
    <s v="ORD0420"/>
    <x v="54"/>
    <s v="Customer_0420"/>
    <x v="2"/>
    <x v="0"/>
    <x v="2"/>
    <x v="3"/>
    <n v="9"/>
    <n v="12000"/>
    <n v="108000"/>
    <n v="88560"/>
    <n v="19440"/>
  </r>
  <r>
    <s v="ORD0421"/>
    <x v="55"/>
    <s v="Customer_0421"/>
    <x v="2"/>
    <x v="0"/>
    <x v="0"/>
    <x v="4"/>
    <n v="3"/>
    <n v="12000"/>
    <n v="36000"/>
    <n v="29520"/>
    <n v="6480"/>
  </r>
  <r>
    <s v="ORD0422"/>
    <x v="56"/>
    <s v="Customer_0422"/>
    <x v="7"/>
    <x v="3"/>
    <x v="3"/>
    <x v="3"/>
    <n v="4"/>
    <n v="6500"/>
    <n v="26000"/>
    <n v="21320"/>
    <n v="4680"/>
  </r>
  <r>
    <s v="ORD0423"/>
    <x v="57"/>
    <s v="Customer_0423"/>
    <x v="0"/>
    <x v="0"/>
    <x v="0"/>
    <x v="2"/>
    <n v="4"/>
    <n v="50000"/>
    <n v="200000"/>
    <n v="164000"/>
    <n v="36000"/>
  </r>
  <r>
    <s v="ORD0424"/>
    <x v="58"/>
    <s v="Customer_0424"/>
    <x v="3"/>
    <x v="1"/>
    <x v="3"/>
    <x v="0"/>
    <n v="8"/>
    <n v="3000"/>
    <n v="24000"/>
    <n v="19680"/>
    <n v="4320"/>
  </r>
  <r>
    <s v="ORD0425"/>
    <x v="59"/>
    <s v="Customer_0425"/>
    <x v="5"/>
    <x v="2"/>
    <x v="0"/>
    <x v="4"/>
    <n v="4"/>
    <n v="2200"/>
    <n v="8800"/>
    <n v="7216"/>
    <n v="1584"/>
  </r>
  <r>
    <s v="ORD0426"/>
    <x v="60"/>
    <s v="Customer_0426"/>
    <x v="5"/>
    <x v="2"/>
    <x v="3"/>
    <x v="0"/>
    <n v="5"/>
    <n v="2200"/>
    <n v="11000"/>
    <n v="9020"/>
    <n v="1980"/>
  </r>
  <r>
    <s v="ORD0427"/>
    <x v="61"/>
    <s v="Customer_0427"/>
    <x v="4"/>
    <x v="0"/>
    <x v="1"/>
    <x v="3"/>
    <n v="9"/>
    <n v="15000"/>
    <n v="135000"/>
    <n v="110700"/>
    <n v="24300"/>
  </r>
  <r>
    <s v="ORD0428"/>
    <x v="62"/>
    <s v="Customer_0428"/>
    <x v="5"/>
    <x v="2"/>
    <x v="1"/>
    <x v="2"/>
    <n v="10"/>
    <n v="2200"/>
    <n v="22000"/>
    <n v="18040"/>
    <n v="3960"/>
  </r>
  <r>
    <s v="ORD0429"/>
    <x v="63"/>
    <s v="Customer_0429"/>
    <x v="3"/>
    <x v="1"/>
    <x v="2"/>
    <x v="2"/>
    <n v="2"/>
    <n v="3000"/>
    <n v="6000"/>
    <n v="4920"/>
    <n v="1080"/>
  </r>
  <r>
    <s v="ORD0430"/>
    <x v="64"/>
    <s v="Customer_0430"/>
    <x v="3"/>
    <x v="1"/>
    <x v="2"/>
    <x v="0"/>
    <n v="10"/>
    <n v="3000"/>
    <n v="30000"/>
    <n v="24600"/>
    <n v="5400"/>
  </r>
  <r>
    <s v="ORD0431"/>
    <x v="65"/>
    <s v="Customer_0431"/>
    <x v="4"/>
    <x v="0"/>
    <x v="2"/>
    <x v="4"/>
    <n v="8"/>
    <n v="15000"/>
    <n v="120000"/>
    <n v="98400"/>
    <n v="21600"/>
  </r>
  <r>
    <s v="ORD0432"/>
    <x v="66"/>
    <s v="Customer_0432"/>
    <x v="0"/>
    <x v="0"/>
    <x v="3"/>
    <x v="2"/>
    <n v="9"/>
    <n v="50000"/>
    <n v="450000"/>
    <n v="369000"/>
    <n v="81000"/>
  </r>
  <r>
    <s v="ORD0433"/>
    <x v="67"/>
    <s v="Customer_0433"/>
    <x v="7"/>
    <x v="3"/>
    <x v="0"/>
    <x v="0"/>
    <n v="8"/>
    <n v="6500"/>
    <n v="52000"/>
    <n v="42640"/>
    <n v="9360"/>
  </r>
  <r>
    <s v="ORD0434"/>
    <x v="68"/>
    <s v="Customer_0434"/>
    <x v="0"/>
    <x v="0"/>
    <x v="2"/>
    <x v="1"/>
    <n v="4"/>
    <n v="50000"/>
    <n v="200000"/>
    <n v="164000"/>
    <n v="36000"/>
  </r>
  <r>
    <s v="ORD0435"/>
    <x v="69"/>
    <s v="Customer_0435"/>
    <x v="6"/>
    <x v="1"/>
    <x v="3"/>
    <x v="4"/>
    <n v="3"/>
    <n v="1500"/>
    <n v="4500"/>
    <n v="3690"/>
    <n v="810"/>
  </r>
  <r>
    <s v="ORD0436"/>
    <x v="70"/>
    <s v="Customer_0436"/>
    <x v="3"/>
    <x v="1"/>
    <x v="2"/>
    <x v="3"/>
    <n v="2"/>
    <n v="3000"/>
    <n v="6000"/>
    <n v="4920"/>
    <n v="1080"/>
  </r>
  <r>
    <s v="ORD0437"/>
    <x v="71"/>
    <s v="Customer_0437"/>
    <x v="2"/>
    <x v="0"/>
    <x v="3"/>
    <x v="0"/>
    <n v="9"/>
    <n v="12000"/>
    <n v="108000"/>
    <n v="88560"/>
    <n v="19440"/>
  </r>
  <r>
    <s v="ORD0438"/>
    <x v="72"/>
    <s v="Customer_0438"/>
    <x v="6"/>
    <x v="1"/>
    <x v="3"/>
    <x v="1"/>
    <n v="9"/>
    <n v="1500"/>
    <n v="13500"/>
    <n v="11070"/>
    <n v="2430"/>
  </r>
  <r>
    <s v="ORD0439"/>
    <x v="73"/>
    <s v="Customer_0439"/>
    <x v="1"/>
    <x v="1"/>
    <x v="2"/>
    <x v="4"/>
    <n v="1"/>
    <n v="800"/>
    <n v="800"/>
    <n v="656"/>
    <n v="144"/>
  </r>
  <r>
    <s v="ORD0440"/>
    <x v="74"/>
    <s v="Customer_0440"/>
    <x v="3"/>
    <x v="1"/>
    <x v="2"/>
    <x v="1"/>
    <n v="6"/>
    <n v="3000"/>
    <n v="18000"/>
    <n v="14760"/>
    <n v="3240"/>
  </r>
  <r>
    <s v="ORD0441"/>
    <x v="75"/>
    <s v="Customer_0441"/>
    <x v="4"/>
    <x v="0"/>
    <x v="1"/>
    <x v="4"/>
    <n v="4"/>
    <n v="15000"/>
    <n v="60000"/>
    <n v="49200"/>
    <n v="10800"/>
  </r>
  <r>
    <s v="ORD0442"/>
    <x v="76"/>
    <s v="Customer_0442"/>
    <x v="1"/>
    <x v="1"/>
    <x v="3"/>
    <x v="4"/>
    <n v="3"/>
    <n v="800"/>
    <n v="2400"/>
    <n v="1967"/>
    <n v="433"/>
  </r>
  <r>
    <s v="ORD0443"/>
    <x v="77"/>
    <s v="Customer_0443"/>
    <x v="6"/>
    <x v="1"/>
    <x v="0"/>
    <x v="3"/>
    <n v="8"/>
    <n v="1500"/>
    <n v="12000"/>
    <n v="9840"/>
    <n v="2160"/>
  </r>
  <r>
    <s v="ORD0444"/>
    <x v="78"/>
    <s v="Customer_0444"/>
    <x v="7"/>
    <x v="3"/>
    <x v="3"/>
    <x v="3"/>
    <n v="10"/>
    <n v="6500"/>
    <n v="65000"/>
    <n v="53300"/>
    <n v="11700"/>
  </r>
  <r>
    <s v="ORD0445"/>
    <x v="79"/>
    <s v="Customer_0445"/>
    <x v="4"/>
    <x v="0"/>
    <x v="0"/>
    <x v="4"/>
    <n v="1"/>
    <n v="15000"/>
    <n v="15000"/>
    <n v="12300"/>
    <n v="2700"/>
  </r>
  <r>
    <s v="ORD0446"/>
    <x v="80"/>
    <s v="Customer_0446"/>
    <x v="3"/>
    <x v="1"/>
    <x v="0"/>
    <x v="4"/>
    <n v="2"/>
    <n v="3000"/>
    <n v="6000"/>
    <n v="4920"/>
    <n v="1080"/>
  </r>
  <r>
    <s v="ORD0447"/>
    <x v="81"/>
    <s v="Customer_0447"/>
    <x v="7"/>
    <x v="3"/>
    <x v="0"/>
    <x v="0"/>
    <n v="7"/>
    <n v="6500"/>
    <n v="45500"/>
    <n v="37310"/>
    <n v="8190"/>
  </r>
  <r>
    <s v="ORD0448"/>
    <x v="82"/>
    <s v="Customer_0448"/>
    <x v="5"/>
    <x v="2"/>
    <x v="1"/>
    <x v="2"/>
    <n v="3"/>
    <n v="2200"/>
    <n v="6600"/>
    <n v="5412"/>
    <n v="1188"/>
  </r>
  <r>
    <s v="ORD0449"/>
    <x v="83"/>
    <s v="Customer_0449"/>
    <x v="0"/>
    <x v="0"/>
    <x v="3"/>
    <x v="0"/>
    <n v="1"/>
    <n v="50000"/>
    <n v="50000"/>
    <n v="41000"/>
    <n v="9000"/>
  </r>
  <r>
    <s v="ORD0450"/>
    <x v="84"/>
    <s v="Customer_0450"/>
    <x v="4"/>
    <x v="0"/>
    <x v="0"/>
    <x v="1"/>
    <n v="8"/>
    <n v="15000"/>
    <n v="120000"/>
    <n v="98400"/>
    <n v="21600"/>
  </r>
  <r>
    <s v="ORD0451"/>
    <x v="85"/>
    <s v="Customer_0451"/>
    <x v="5"/>
    <x v="2"/>
    <x v="1"/>
    <x v="1"/>
    <n v="7"/>
    <n v="2200"/>
    <n v="15400"/>
    <n v="12628"/>
    <n v="2772"/>
  </r>
  <r>
    <s v="ORD0452"/>
    <x v="86"/>
    <s v="Customer_0452"/>
    <x v="4"/>
    <x v="0"/>
    <x v="1"/>
    <x v="3"/>
    <n v="4"/>
    <n v="15000"/>
    <n v="60000"/>
    <n v="49200"/>
    <n v="10800"/>
  </r>
  <r>
    <s v="ORD0453"/>
    <x v="87"/>
    <s v="Customer_0453"/>
    <x v="7"/>
    <x v="3"/>
    <x v="3"/>
    <x v="1"/>
    <n v="2"/>
    <n v="6500"/>
    <n v="13000"/>
    <n v="10660"/>
    <n v="2340"/>
  </r>
  <r>
    <s v="ORD0454"/>
    <x v="88"/>
    <s v="Customer_0454"/>
    <x v="2"/>
    <x v="0"/>
    <x v="1"/>
    <x v="3"/>
    <n v="4"/>
    <n v="12000"/>
    <n v="48000"/>
    <n v="39360"/>
    <n v="8640"/>
  </r>
  <r>
    <s v="ORD0455"/>
    <x v="89"/>
    <s v="Customer_0455"/>
    <x v="0"/>
    <x v="0"/>
    <x v="0"/>
    <x v="2"/>
    <n v="3"/>
    <n v="50000"/>
    <n v="150000"/>
    <n v="122999"/>
    <n v="27001"/>
  </r>
  <r>
    <s v="ORD0456"/>
    <x v="90"/>
    <s v="Customer_0456"/>
    <x v="4"/>
    <x v="0"/>
    <x v="2"/>
    <x v="0"/>
    <n v="6"/>
    <n v="15000"/>
    <n v="90000"/>
    <n v="73800"/>
    <n v="16200"/>
  </r>
  <r>
    <s v="ORD0457"/>
    <x v="91"/>
    <s v="Customer_0457"/>
    <x v="6"/>
    <x v="1"/>
    <x v="1"/>
    <x v="2"/>
    <n v="3"/>
    <n v="1500"/>
    <n v="4500"/>
    <n v="3690"/>
    <n v="810"/>
  </r>
  <r>
    <s v="ORD0458"/>
    <x v="92"/>
    <s v="Customer_0458"/>
    <x v="2"/>
    <x v="0"/>
    <x v="0"/>
    <x v="1"/>
    <n v="5"/>
    <n v="12000"/>
    <n v="60000"/>
    <n v="49200"/>
    <n v="10800"/>
  </r>
  <r>
    <s v="ORD0459"/>
    <x v="93"/>
    <s v="Customer_0459"/>
    <x v="1"/>
    <x v="1"/>
    <x v="1"/>
    <x v="2"/>
    <n v="3"/>
    <n v="800"/>
    <n v="2400"/>
    <n v="1967"/>
    <n v="433"/>
  </r>
  <r>
    <s v="ORD0460"/>
    <x v="94"/>
    <s v="Customer_0460"/>
    <x v="2"/>
    <x v="0"/>
    <x v="0"/>
    <x v="3"/>
    <n v="4"/>
    <n v="12000"/>
    <n v="48000"/>
    <n v="39360"/>
    <n v="8640"/>
  </r>
  <r>
    <s v="ORD0461"/>
    <x v="95"/>
    <s v="Customer_0461"/>
    <x v="2"/>
    <x v="0"/>
    <x v="1"/>
    <x v="4"/>
    <n v="2"/>
    <n v="12000"/>
    <n v="24000"/>
    <n v="19680"/>
    <n v="4320"/>
  </r>
  <r>
    <s v="ORD0462"/>
    <x v="96"/>
    <s v="Customer_0462"/>
    <x v="5"/>
    <x v="2"/>
    <x v="2"/>
    <x v="2"/>
    <n v="3"/>
    <n v="2200"/>
    <n v="6600"/>
    <n v="5412"/>
    <n v="1188"/>
  </r>
  <r>
    <s v="ORD0463"/>
    <x v="97"/>
    <s v="Customer_0463"/>
    <x v="0"/>
    <x v="0"/>
    <x v="3"/>
    <x v="3"/>
    <n v="8"/>
    <n v="50000"/>
    <n v="400000"/>
    <n v="328000"/>
    <n v="72000"/>
  </r>
  <r>
    <s v="ORD0464"/>
    <x v="98"/>
    <s v="Customer_0464"/>
    <x v="0"/>
    <x v="0"/>
    <x v="2"/>
    <x v="1"/>
    <n v="2"/>
    <n v="50000"/>
    <n v="100000"/>
    <n v="82000"/>
    <n v="18000"/>
  </r>
  <r>
    <s v="ORD0465"/>
    <x v="99"/>
    <s v="Customer_0465"/>
    <x v="4"/>
    <x v="0"/>
    <x v="1"/>
    <x v="3"/>
    <n v="3"/>
    <n v="15000"/>
    <n v="45000"/>
    <n v="36900"/>
    <n v="8100"/>
  </r>
  <r>
    <s v="ORD0466"/>
    <x v="100"/>
    <s v="Customer_0466"/>
    <x v="0"/>
    <x v="0"/>
    <x v="0"/>
    <x v="0"/>
    <n v="2"/>
    <n v="50000"/>
    <n v="100000"/>
    <n v="82000"/>
    <n v="18000"/>
  </r>
  <r>
    <s v="ORD0467"/>
    <x v="101"/>
    <s v="Customer_0467"/>
    <x v="1"/>
    <x v="1"/>
    <x v="1"/>
    <x v="3"/>
    <n v="9"/>
    <n v="800"/>
    <n v="7200"/>
    <n v="5904"/>
    <n v="1296"/>
  </r>
  <r>
    <s v="ORD0468"/>
    <x v="102"/>
    <s v="Customer_0468"/>
    <x v="3"/>
    <x v="1"/>
    <x v="1"/>
    <x v="0"/>
    <n v="8"/>
    <n v="3000"/>
    <n v="24000"/>
    <n v="19680"/>
    <n v="4320"/>
  </r>
  <r>
    <s v="ORD0469"/>
    <x v="103"/>
    <s v="Customer_0469"/>
    <x v="7"/>
    <x v="3"/>
    <x v="3"/>
    <x v="1"/>
    <n v="1"/>
    <n v="6500"/>
    <n v="6500"/>
    <n v="5330"/>
    <n v="1170"/>
  </r>
  <r>
    <s v="ORD0470"/>
    <x v="104"/>
    <s v="Customer_0470"/>
    <x v="1"/>
    <x v="1"/>
    <x v="2"/>
    <x v="4"/>
    <n v="10"/>
    <n v="800"/>
    <n v="8000"/>
    <n v="6560"/>
    <n v="1440"/>
  </r>
  <r>
    <s v="ORD0471"/>
    <x v="105"/>
    <s v="Customer_0471"/>
    <x v="7"/>
    <x v="3"/>
    <x v="0"/>
    <x v="4"/>
    <n v="7"/>
    <n v="6500"/>
    <n v="45500"/>
    <n v="37310"/>
    <n v="8190"/>
  </r>
  <r>
    <s v="ORD0472"/>
    <x v="106"/>
    <s v="Customer_0472"/>
    <x v="7"/>
    <x v="3"/>
    <x v="2"/>
    <x v="2"/>
    <n v="1"/>
    <n v="6500"/>
    <n v="6500"/>
    <n v="5330"/>
    <n v="1170"/>
  </r>
  <r>
    <s v="ORD0473"/>
    <x v="107"/>
    <s v="Customer_0473"/>
    <x v="0"/>
    <x v="0"/>
    <x v="0"/>
    <x v="1"/>
    <n v="8"/>
    <n v="50000"/>
    <n v="400000"/>
    <n v="328000"/>
    <n v="72000"/>
  </r>
  <r>
    <s v="ORD0474"/>
    <x v="108"/>
    <s v="Customer_0474"/>
    <x v="0"/>
    <x v="0"/>
    <x v="2"/>
    <x v="3"/>
    <n v="5"/>
    <n v="50000"/>
    <n v="250000"/>
    <n v="205000"/>
    <n v="45000"/>
  </r>
  <r>
    <s v="ORD0475"/>
    <x v="109"/>
    <s v="Customer_0475"/>
    <x v="5"/>
    <x v="2"/>
    <x v="1"/>
    <x v="4"/>
    <n v="5"/>
    <n v="2200"/>
    <n v="11000"/>
    <n v="9020"/>
    <n v="1980"/>
  </r>
  <r>
    <s v="ORD0476"/>
    <x v="110"/>
    <s v="Customer_0476"/>
    <x v="7"/>
    <x v="3"/>
    <x v="0"/>
    <x v="2"/>
    <n v="1"/>
    <n v="6500"/>
    <n v="6500"/>
    <n v="5330"/>
    <n v="1170"/>
  </r>
  <r>
    <s v="ORD0477"/>
    <x v="111"/>
    <s v="Customer_0477"/>
    <x v="6"/>
    <x v="1"/>
    <x v="1"/>
    <x v="0"/>
    <n v="5"/>
    <n v="1500"/>
    <n v="7500"/>
    <n v="6150"/>
    <n v="1350"/>
  </r>
  <r>
    <s v="ORD0478"/>
    <x v="112"/>
    <s v="Customer_0478"/>
    <x v="0"/>
    <x v="0"/>
    <x v="0"/>
    <x v="0"/>
    <n v="6"/>
    <n v="50000"/>
    <n v="300000"/>
    <n v="245999"/>
    <n v="54001"/>
  </r>
  <r>
    <s v="ORD0479"/>
    <x v="113"/>
    <s v="Customer_0479"/>
    <x v="4"/>
    <x v="0"/>
    <x v="0"/>
    <x v="0"/>
    <n v="5"/>
    <n v="15000"/>
    <n v="75000"/>
    <n v="61499"/>
    <n v="13501"/>
  </r>
  <r>
    <s v="ORD0480"/>
    <x v="114"/>
    <s v="Customer_0480"/>
    <x v="6"/>
    <x v="1"/>
    <x v="2"/>
    <x v="3"/>
    <n v="7"/>
    <n v="1500"/>
    <n v="10500"/>
    <n v="8610"/>
    <n v="1890"/>
  </r>
  <r>
    <s v="ORD0481"/>
    <x v="115"/>
    <s v="Customer_0481"/>
    <x v="5"/>
    <x v="2"/>
    <x v="3"/>
    <x v="0"/>
    <n v="6"/>
    <n v="2200"/>
    <n v="13200"/>
    <n v="10824"/>
    <n v="2376"/>
  </r>
  <r>
    <s v="ORD0482"/>
    <x v="116"/>
    <s v="Customer_0482"/>
    <x v="1"/>
    <x v="1"/>
    <x v="3"/>
    <x v="0"/>
    <n v="1"/>
    <n v="800"/>
    <n v="800"/>
    <n v="656"/>
    <n v="144"/>
  </r>
  <r>
    <s v="ORD0483"/>
    <x v="117"/>
    <s v="Customer_0483"/>
    <x v="0"/>
    <x v="0"/>
    <x v="0"/>
    <x v="2"/>
    <n v="9"/>
    <n v="50000"/>
    <n v="450000"/>
    <n v="369000"/>
    <n v="81000"/>
  </r>
  <r>
    <s v="ORD0484"/>
    <x v="118"/>
    <s v="Customer_0484"/>
    <x v="7"/>
    <x v="3"/>
    <x v="0"/>
    <x v="0"/>
    <n v="2"/>
    <n v="6500"/>
    <n v="13000"/>
    <n v="10660"/>
    <n v="2340"/>
  </r>
  <r>
    <s v="ORD0485"/>
    <x v="119"/>
    <s v="Customer_0485"/>
    <x v="3"/>
    <x v="1"/>
    <x v="2"/>
    <x v="4"/>
    <n v="9"/>
    <n v="3000"/>
    <n v="27000"/>
    <n v="22140"/>
    <n v="4860"/>
  </r>
  <r>
    <s v="ORD0486"/>
    <x v="120"/>
    <s v="Customer_0486"/>
    <x v="2"/>
    <x v="0"/>
    <x v="1"/>
    <x v="2"/>
    <n v="3"/>
    <n v="12000"/>
    <n v="36000"/>
    <n v="29520"/>
    <n v="6480"/>
  </r>
  <r>
    <s v="ORD0487"/>
    <x v="121"/>
    <s v="Customer_0487"/>
    <x v="1"/>
    <x v="1"/>
    <x v="1"/>
    <x v="2"/>
    <n v="5"/>
    <n v="800"/>
    <n v="4000"/>
    <n v="3280"/>
    <n v="720"/>
  </r>
  <r>
    <s v="ORD0488"/>
    <x v="122"/>
    <s v="Customer_0488"/>
    <x v="5"/>
    <x v="2"/>
    <x v="2"/>
    <x v="4"/>
    <n v="4"/>
    <n v="2200"/>
    <n v="8800"/>
    <n v="7216"/>
    <n v="1584"/>
  </r>
  <r>
    <s v="ORD0489"/>
    <x v="123"/>
    <s v="Customer_0489"/>
    <x v="6"/>
    <x v="1"/>
    <x v="2"/>
    <x v="2"/>
    <n v="7"/>
    <n v="1500"/>
    <n v="10500"/>
    <n v="8610"/>
    <n v="1890"/>
  </r>
  <r>
    <s v="ORD0490"/>
    <x v="124"/>
    <s v="Customer_0490"/>
    <x v="6"/>
    <x v="1"/>
    <x v="0"/>
    <x v="3"/>
    <n v="7"/>
    <n v="1500"/>
    <n v="10500"/>
    <n v="8610"/>
    <n v="1890"/>
  </r>
  <r>
    <s v="ORD0491"/>
    <x v="125"/>
    <s v="Customer_0491"/>
    <x v="5"/>
    <x v="2"/>
    <x v="0"/>
    <x v="0"/>
    <n v="4"/>
    <n v="2200"/>
    <n v="8800"/>
    <n v="7216"/>
    <n v="1584"/>
  </r>
  <r>
    <s v="ORD0492"/>
    <x v="126"/>
    <s v="Customer_0492"/>
    <x v="5"/>
    <x v="2"/>
    <x v="2"/>
    <x v="0"/>
    <n v="10"/>
    <n v="2200"/>
    <n v="22000"/>
    <n v="18040"/>
    <n v="3960"/>
  </r>
  <r>
    <s v="ORD0493"/>
    <x v="127"/>
    <s v="Customer_0493"/>
    <x v="1"/>
    <x v="1"/>
    <x v="2"/>
    <x v="2"/>
    <n v="8"/>
    <n v="800"/>
    <n v="6400"/>
    <n v="5248"/>
    <n v="1152"/>
  </r>
  <r>
    <s v="ORD0494"/>
    <x v="128"/>
    <s v="Customer_0494"/>
    <x v="4"/>
    <x v="0"/>
    <x v="1"/>
    <x v="4"/>
    <n v="2"/>
    <n v="15000"/>
    <n v="30000"/>
    <n v="24600"/>
    <n v="5400"/>
  </r>
  <r>
    <s v="ORD0495"/>
    <x v="129"/>
    <s v="Customer_0495"/>
    <x v="6"/>
    <x v="1"/>
    <x v="0"/>
    <x v="0"/>
    <n v="10"/>
    <n v="1500"/>
    <n v="15000"/>
    <n v="12300"/>
    <n v="2700"/>
  </r>
  <r>
    <s v="ORD0496"/>
    <x v="130"/>
    <s v="Customer_0496"/>
    <x v="5"/>
    <x v="2"/>
    <x v="1"/>
    <x v="0"/>
    <n v="3"/>
    <n v="2200"/>
    <n v="6600"/>
    <n v="5412"/>
    <n v="1188"/>
  </r>
  <r>
    <s v="ORD0497"/>
    <x v="131"/>
    <s v="Customer_0497"/>
    <x v="6"/>
    <x v="1"/>
    <x v="3"/>
    <x v="3"/>
    <n v="1"/>
    <n v="1500"/>
    <n v="1500"/>
    <n v="1230"/>
    <n v="270"/>
  </r>
  <r>
    <s v="ORD0498"/>
    <x v="132"/>
    <s v="Customer_0498"/>
    <x v="5"/>
    <x v="2"/>
    <x v="1"/>
    <x v="4"/>
    <n v="9"/>
    <n v="2200"/>
    <n v="19800"/>
    <n v="16235"/>
    <n v="3565"/>
  </r>
  <r>
    <s v="ORD0499"/>
    <x v="133"/>
    <s v="Customer_0499"/>
    <x v="6"/>
    <x v="1"/>
    <x v="2"/>
    <x v="4"/>
    <n v="4"/>
    <n v="1500"/>
    <n v="6000"/>
    <n v="4920"/>
    <n v="1080"/>
  </r>
  <r>
    <s v="ORD0500"/>
    <x v="134"/>
    <s v="Customer_0500"/>
    <x v="1"/>
    <x v="1"/>
    <x v="3"/>
    <x v="0"/>
    <n v="2"/>
    <n v="800"/>
    <n v="1600"/>
    <n v="1312"/>
    <n v="288"/>
  </r>
  <r>
    <s v="ORD0501"/>
    <x v="135"/>
    <s v="Customer_0501"/>
    <x v="6"/>
    <x v="1"/>
    <x v="3"/>
    <x v="2"/>
    <n v="4"/>
    <n v="1500"/>
    <n v="6000"/>
    <n v="4920"/>
    <n v="1080"/>
  </r>
  <r>
    <s v="ORD0502"/>
    <x v="136"/>
    <s v="Customer_0502"/>
    <x v="6"/>
    <x v="1"/>
    <x v="3"/>
    <x v="0"/>
    <n v="3"/>
    <n v="1500"/>
    <n v="4500"/>
    <n v="3690"/>
    <n v="810"/>
  </r>
  <r>
    <s v="ORD0503"/>
    <x v="137"/>
    <s v="Customer_0503"/>
    <x v="0"/>
    <x v="0"/>
    <x v="2"/>
    <x v="0"/>
    <n v="9"/>
    <n v="50000"/>
    <n v="450000"/>
    <n v="369000"/>
    <n v="81000"/>
  </r>
  <r>
    <s v="ORD0504"/>
    <x v="138"/>
    <s v="Customer_0504"/>
    <x v="5"/>
    <x v="2"/>
    <x v="1"/>
    <x v="1"/>
    <n v="3"/>
    <n v="2200"/>
    <n v="6600"/>
    <n v="5412"/>
    <n v="1188"/>
  </r>
  <r>
    <s v="ORD0505"/>
    <x v="139"/>
    <s v="Customer_0505"/>
    <x v="5"/>
    <x v="2"/>
    <x v="2"/>
    <x v="3"/>
    <n v="10"/>
    <n v="2200"/>
    <n v="22000"/>
    <n v="18040"/>
    <n v="3960"/>
  </r>
  <r>
    <s v="ORD0506"/>
    <x v="140"/>
    <s v="Customer_0506"/>
    <x v="1"/>
    <x v="1"/>
    <x v="3"/>
    <x v="2"/>
    <n v="10"/>
    <n v="800"/>
    <n v="8000"/>
    <n v="6560"/>
    <n v="1440"/>
  </r>
  <r>
    <s v="ORD0507"/>
    <x v="141"/>
    <s v="Customer_0507"/>
    <x v="1"/>
    <x v="1"/>
    <x v="2"/>
    <x v="0"/>
    <n v="4"/>
    <n v="800"/>
    <n v="3200"/>
    <n v="2624"/>
    <n v="576"/>
  </r>
  <r>
    <s v="ORD0508"/>
    <x v="142"/>
    <s v="Customer_0508"/>
    <x v="3"/>
    <x v="1"/>
    <x v="1"/>
    <x v="2"/>
    <n v="8"/>
    <n v="3000"/>
    <n v="24000"/>
    <n v="19680"/>
    <n v="4320"/>
  </r>
  <r>
    <s v="ORD0509"/>
    <x v="143"/>
    <s v="Customer_0509"/>
    <x v="3"/>
    <x v="1"/>
    <x v="0"/>
    <x v="1"/>
    <n v="5"/>
    <n v="3000"/>
    <n v="15000"/>
    <n v="12300"/>
    <n v="2700"/>
  </r>
  <r>
    <s v="ORD0510"/>
    <x v="144"/>
    <s v="Customer_0510"/>
    <x v="4"/>
    <x v="0"/>
    <x v="0"/>
    <x v="1"/>
    <n v="5"/>
    <n v="15000"/>
    <n v="75000"/>
    <n v="61499"/>
    <n v="13501"/>
  </r>
  <r>
    <s v="ORD0511"/>
    <x v="145"/>
    <s v="Customer_0511"/>
    <x v="1"/>
    <x v="1"/>
    <x v="1"/>
    <x v="0"/>
    <n v="4"/>
    <n v="800"/>
    <n v="3200"/>
    <n v="2624"/>
    <n v="576"/>
  </r>
  <r>
    <s v="ORD0512"/>
    <x v="146"/>
    <s v="Customer_0512"/>
    <x v="6"/>
    <x v="1"/>
    <x v="3"/>
    <x v="3"/>
    <n v="5"/>
    <n v="1500"/>
    <n v="7500"/>
    <n v="6150"/>
    <n v="1350"/>
  </r>
  <r>
    <s v="ORD0513"/>
    <x v="147"/>
    <s v="Customer_0513"/>
    <x v="4"/>
    <x v="0"/>
    <x v="2"/>
    <x v="2"/>
    <n v="9"/>
    <n v="15000"/>
    <n v="135000"/>
    <n v="110700"/>
    <n v="24300"/>
  </r>
  <r>
    <s v="ORD0514"/>
    <x v="148"/>
    <s v="Customer_0514"/>
    <x v="2"/>
    <x v="0"/>
    <x v="1"/>
    <x v="4"/>
    <n v="7"/>
    <n v="12000"/>
    <n v="84000"/>
    <n v="68880"/>
    <n v="15120"/>
  </r>
  <r>
    <s v="ORD0515"/>
    <x v="149"/>
    <s v="Customer_0515"/>
    <x v="3"/>
    <x v="1"/>
    <x v="1"/>
    <x v="1"/>
    <n v="10"/>
    <n v="3000"/>
    <n v="30000"/>
    <n v="24600"/>
    <n v="5400"/>
  </r>
  <r>
    <s v="ORD0516"/>
    <x v="150"/>
    <s v="Customer_0516"/>
    <x v="6"/>
    <x v="1"/>
    <x v="1"/>
    <x v="1"/>
    <n v="3"/>
    <n v="1500"/>
    <n v="4500"/>
    <n v="3690"/>
    <n v="810"/>
  </r>
  <r>
    <s v="ORD0517"/>
    <x v="151"/>
    <s v="Customer_0517"/>
    <x v="1"/>
    <x v="1"/>
    <x v="3"/>
    <x v="1"/>
    <n v="3"/>
    <n v="800"/>
    <n v="2400"/>
    <n v="1967"/>
    <n v="433"/>
  </r>
  <r>
    <s v="ORD0518"/>
    <x v="152"/>
    <s v="Customer_0518"/>
    <x v="6"/>
    <x v="1"/>
    <x v="0"/>
    <x v="4"/>
    <n v="7"/>
    <n v="1500"/>
    <n v="10500"/>
    <n v="8610"/>
    <n v="1890"/>
  </r>
  <r>
    <s v="ORD0519"/>
    <x v="153"/>
    <s v="Customer_0519"/>
    <x v="2"/>
    <x v="0"/>
    <x v="0"/>
    <x v="2"/>
    <n v="7"/>
    <n v="12000"/>
    <n v="84000"/>
    <n v="68880"/>
    <n v="15120"/>
  </r>
  <r>
    <s v="ORD0520"/>
    <x v="154"/>
    <s v="Customer_0520"/>
    <x v="4"/>
    <x v="0"/>
    <x v="1"/>
    <x v="3"/>
    <n v="5"/>
    <n v="15000"/>
    <n v="75000"/>
    <n v="61499"/>
    <n v="13501"/>
  </r>
  <r>
    <s v="ORD0521"/>
    <x v="155"/>
    <s v="Customer_0521"/>
    <x v="1"/>
    <x v="1"/>
    <x v="3"/>
    <x v="1"/>
    <n v="8"/>
    <n v="800"/>
    <n v="6400"/>
    <n v="5248"/>
    <n v="1152"/>
  </r>
  <r>
    <s v="ORD0522"/>
    <x v="156"/>
    <s v="Customer_0522"/>
    <x v="7"/>
    <x v="3"/>
    <x v="3"/>
    <x v="2"/>
    <n v="9"/>
    <n v="6500"/>
    <n v="58500"/>
    <n v="47970"/>
    <n v="10530"/>
  </r>
  <r>
    <s v="ORD0523"/>
    <x v="157"/>
    <s v="Customer_0523"/>
    <x v="2"/>
    <x v="0"/>
    <x v="3"/>
    <x v="1"/>
    <n v="6"/>
    <n v="12000"/>
    <n v="72000"/>
    <n v="59040"/>
    <n v="12960"/>
  </r>
  <r>
    <s v="ORD0524"/>
    <x v="158"/>
    <s v="Customer_0524"/>
    <x v="5"/>
    <x v="2"/>
    <x v="0"/>
    <x v="2"/>
    <n v="2"/>
    <n v="2200"/>
    <n v="4400"/>
    <n v="3608"/>
    <n v="792"/>
  </r>
  <r>
    <s v="ORD0525"/>
    <x v="159"/>
    <s v="Customer_0525"/>
    <x v="4"/>
    <x v="0"/>
    <x v="0"/>
    <x v="1"/>
    <n v="8"/>
    <n v="15000"/>
    <n v="120000"/>
    <n v="98400"/>
    <n v="21600"/>
  </r>
  <r>
    <s v="ORD0526"/>
    <x v="160"/>
    <s v="Customer_0526"/>
    <x v="0"/>
    <x v="0"/>
    <x v="2"/>
    <x v="1"/>
    <n v="6"/>
    <n v="50000"/>
    <n v="300000"/>
    <n v="245999"/>
    <n v="54001"/>
  </r>
  <r>
    <s v="ORD0527"/>
    <x v="161"/>
    <s v="Customer_0527"/>
    <x v="7"/>
    <x v="3"/>
    <x v="3"/>
    <x v="2"/>
    <n v="7"/>
    <n v="6500"/>
    <n v="45500"/>
    <n v="37310"/>
    <n v="8190"/>
  </r>
  <r>
    <s v="ORD0528"/>
    <x v="162"/>
    <s v="Customer_0528"/>
    <x v="4"/>
    <x v="0"/>
    <x v="0"/>
    <x v="4"/>
    <n v="3"/>
    <n v="15000"/>
    <n v="45000"/>
    <n v="36900"/>
    <n v="8100"/>
  </r>
  <r>
    <s v="ORD0529"/>
    <x v="163"/>
    <s v="Customer_0529"/>
    <x v="7"/>
    <x v="3"/>
    <x v="3"/>
    <x v="2"/>
    <n v="6"/>
    <n v="6500"/>
    <n v="39000"/>
    <n v="31979"/>
    <n v="7021"/>
  </r>
  <r>
    <s v="ORD0530"/>
    <x v="164"/>
    <s v="Customer_0530"/>
    <x v="6"/>
    <x v="1"/>
    <x v="2"/>
    <x v="1"/>
    <n v="2"/>
    <n v="1500"/>
    <n v="3000"/>
    <n v="2460"/>
    <n v="540"/>
  </r>
  <r>
    <s v="ORD0531"/>
    <x v="165"/>
    <s v="Customer_0531"/>
    <x v="2"/>
    <x v="0"/>
    <x v="3"/>
    <x v="4"/>
    <n v="4"/>
    <n v="12000"/>
    <n v="48000"/>
    <n v="39360"/>
    <n v="8640"/>
  </r>
  <r>
    <s v="ORD0532"/>
    <x v="166"/>
    <s v="Customer_0532"/>
    <x v="4"/>
    <x v="0"/>
    <x v="3"/>
    <x v="2"/>
    <n v="9"/>
    <n v="15000"/>
    <n v="135000"/>
    <n v="110700"/>
    <n v="24300"/>
  </r>
  <r>
    <s v="ORD0533"/>
    <x v="167"/>
    <s v="Customer_0533"/>
    <x v="5"/>
    <x v="2"/>
    <x v="1"/>
    <x v="1"/>
    <n v="9"/>
    <n v="2200"/>
    <n v="19800"/>
    <n v="16235"/>
    <n v="3565"/>
  </r>
  <r>
    <s v="ORD0534"/>
    <x v="168"/>
    <s v="Customer_0534"/>
    <x v="6"/>
    <x v="1"/>
    <x v="2"/>
    <x v="4"/>
    <n v="5"/>
    <n v="1500"/>
    <n v="7500"/>
    <n v="6150"/>
    <n v="1350"/>
  </r>
  <r>
    <s v="ORD0535"/>
    <x v="169"/>
    <s v="Customer_0535"/>
    <x v="5"/>
    <x v="2"/>
    <x v="0"/>
    <x v="1"/>
    <n v="3"/>
    <n v="2200"/>
    <n v="6600"/>
    <n v="5412"/>
    <n v="1188"/>
  </r>
  <r>
    <s v="ORD0536"/>
    <x v="170"/>
    <s v="Customer_0536"/>
    <x v="0"/>
    <x v="0"/>
    <x v="0"/>
    <x v="3"/>
    <n v="10"/>
    <n v="50000"/>
    <n v="500000"/>
    <n v="410000"/>
    <n v="90000"/>
  </r>
  <r>
    <s v="ORD0537"/>
    <x v="171"/>
    <s v="Customer_0537"/>
    <x v="3"/>
    <x v="1"/>
    <x v="3"/>
    <x v="0"/>
    <n v="6"/>
    <n v="3000"/>
    <n v="18000"/>
    <n v="14760"/>
    <n v="3240"/>
  </r>
  <r>
    <s v="ORD0538"/>
    <x v="172"/>
    <s v="Customer_0538"/>
    <x v="3"/>
    <x v="1"/>
    <x v="0"/>
    <x v="0"/>
    <n v="6"/>
    <n v="3000"/>
    <n v="18000"/>
    <n v="14760"/>
    <n v="3240"/>
  </r>
  <r>
    <s v="ORD0539"/>
    <x v="173"/>
    <s v="Customer_0539"/>
    <x v="3"/>
    <x v="1"/>
    <x v="3"/>
    <x v="2"/>
    <n v="8"/>
    <n v="3000"/>
    <n v="24000"/>
    <n v="19680"/>
    <n v="4320"/>
  </r>
  <r>
    <s v="ORD0540"/>
    <x v="174"/>
    <s v="Customer_0540"/>
    <x v="7"/>
    <x v="3"/>
    <x v="1"/>
    <x v="0"/>
    <n v="8"/>
    <n v="6500"/>
    <n v="52000"/>
    <n v="42640"/>
    <n v="9360"/>
  </r>
  <r>
    <s v="ORD0541"/>
    <x v="175"/>
    <s v="Customer_0541"/>
    <x v="0"/>
    <x v="0"/>
    <x v="2"/>
    <x v="1"/>
    <n v="8"/>
    <n v="50000"/>
    <n v="400000"/>
    <n v="328000"/>
    <n v="72000"/>
  </r>
  <r>
    <s v="ORD0542"/>
    <x v="176"/>
    <s v="Customer_0542"/>
    <x v="3"/>
    <x v="1"/>
    <x v="1"/>
    <x v="3"/>
    <n v="10"/>
    <n v="3000"/>
    <n v="30000"/>
    <n v="24600"/>
    <n v="5400"/>
  </r>
  <r>
    <s v="ORD0543"/>
    <x v="177"/>
    <s v="Customer_0543"/>
    <x v="7"/>
    <x v="3"/>
    <x v="0"/>
    <x v="1"/>
    <n v="2"/>
    <n v="6500"/>
    <n v="13000"/>
    <n v="10660"/>
    <n v="2340"/>
  </r>
  <r>
    <s v="ORD0544"/>
    <x v="178"/>
    <s v="Customer_0544"/>
    <x v="3"/>
    <x v="1"/>
    <x v="3"/>
    <x v="3"/>
    <n v="2"/>
    <n v="3000"/>
    <n v="6000"/>
    <n v="4920"/>
    <n v="1080"/>
  </r>
  <r>
    <s v="ORD0545"/>
    <x v="179"/>
    <s v="Customer_0545"/>
    <x v="4"/>
    <x v="0"/>
    <x v="1"/>
    <x v="0"/>
    <n v="3"/>
    <n v="15000"/>
    <n v="45000"/>
    <n v="36900"/>
    <n v="8100"/>
  </r>
  <r>
    <s v="ORD0546"/>
    <x v="180"/>
    <s v="Customer_0546"/>
    <x v="3"/>
    <x v="1"/>
    <x v="3"/>
    <x v="4"/>
    <n v="6"/>
    <n v="3000"/>
    <n v="18000"/>
    <n v="14760"/>
    <n v="3240"/>
  </r>
  <r>
    <s v="ORD0547"/>
    <x v="181"/>
    <s v="Customer_0547"/>
    <x v="3"/>
    <x v="1"/>
    <x v="3"/>
    <x v="2"/>
    <n v="4"/>
    <n v="3000"/>
    <n v="12000"/>
    <n v="9840"/>
    <n v="2160"/>
  </r>
  <r>
    <s v="ORD0548"/>
    <x v="182"/>
    <s v="Customer_0548"/>
    <x v="4"/>
    <x v="0"/>
    <x v="1"/>
    <x v="3"/>
    <n v="4"/>
    <n v="15000"/>
    <n v="60000"/>
    <n v="49200"/>
    <n v="10800"/>
  </r>
  <r>
    <s v="ORD0549"/>
    <x v="183"/>
    <s v="Customer_0549"/>
    <x v="7"/>
    <x v="3"/>
    <x v="0"/>
    <x v="3"/>
    <n v="3"/>
    <n v="6500"/>
    <n v="19500"/>
    <n v="15989"/>
    <n v="3511"/>
  </r>
  <r>
    <s v="ORD0550"/>
    <x v="184"/>
    <s v="Customer_0550"/>
    <x v="2"/>
    <x v="0"/>
    <x v="2"/>
    <x v="1"/>
    <n v="7"/>
    <n v="12000"/>
    <n v="84000"/>
    <n v="68880"/>
    <n v="15120"/>
  </r>
  <r>
    <s v="ORD0551"/>
    <x v="185"/>
    <s v="Customer_0551"/>
    <x v="4"/>
    <x v="0"/>
    <x v="1"/>
    <x v="3"/>
    <n v="7"/>
    <n v="15000"/>
    <n v="105000"/>
    <n v="86100"/>
    <n v="18900"/>
  </r>
  <r>
    <s v="ORD0552"/>
    <x v="186"/>
    <s v="Customer_0552"/>
    <x v="4"/>
    <x v="0"/>
    <x v="3"/>
    <x v="2"/>
    <n v="1"/>
    <n v="15000"/>
    <n v="15000"/>
    <n v="12300"/>
    <n v="2700"/>
  </r>
  <r>
    <s v="ORD0553"/>
    <x v="187"/>
    <s v="Customer_0553"/>
    <x v="0"/>
    <x v="0"/>
    <x v="3"/>
    <x v="2"/>
    <n v="8"/>
    <n v="50000"/>
    <n v="400000"/>
    <n v="328000"/>
    <n v="72000"/>
  </r>
  <r>
    <s v="ORD0554"/>
    <x v="188"/>
    <s v="Customer_0554"/>
    <x v="6"/>
    <x v="1"/>
    <x v="2"/>
    <x v="3"/>
    <n v="10"/>
    <n v="1500"/>
    <n v="15000"/>
    <n v="12300"/>
    <n v="2700"/>
  </r>
  <r>
    <s v="ORD0555"/>
    <x v="189"/>
    <s v="Customer_0555"/>
    <x v="2"/>
    <x v="0"/>
    <x v="2"/>
    <x v="2"/>
    <n v="2"/>
    <n v="12000"/>
    <n v="24000"/>
    <n v="19680"/>
    <n v="4320"/>
  </r>
  <r>
    <s v="ORD0556"/>
    <x v="190"/>
    <s v="Customer_0556"/>
    <x v="1"/>
    <x v="1"/>
    <x v="3"/>
    <x v="0"/>
    <n v="4"/>
    <n v="800"/>
    <n v="3200"/>
    <n v="2624"/>
    <n v="576"/>
  </r>
  <r>
    <s v="ORD0557"/>
    <x v="191"/>
    <s v="Customer_0557"/>
    <x v="4"/>
    <x v="0"/>
    <x v="2"/>
    <x v="0"/>
    <n v="6"/>
    <n v="15000"/>
    <n v="90000"/>
    <n v="73800"/>
    <n v="16200"/>
  </r>
  <r>
    <s v="ORD0558"/>
    <x v="192"/>
    <s v="Customer_0558"/>
    <x v="4"/>
    <x v="0"/>
    <x v="3"/>
    <x v="4"/>
    <n v="9"/>
    <n v="15000"/>
    <n v="135000"/>
    <n v="110700"/>
    <n v="24300"/>
  </r>
  <r>
    <s v="ORD0559"/>
    <x v="193"/>
    <s v="Customer_0559"/>
    <x v="4"/>
    <x v="0"/>
    <x v="2"/>
    <x v="4"/>
    <n v="5"/>
    <n v="15000"/>
    <n v="75000"/>
    <n v="61499"/>
    <n v="13501"/>
  </r>
  <r>
    <s v="ORD0560"/>
    <x v="194"/>
    <s v="Customer_0560"/>
    <x v="2"/>
    <x v="0"/>
    <x v="2"/>
    <x v="2"/>
    <n v="10"/>
    <n v="12000"/>
    <n v="120000"/>
    <n v="98400"/>
    <n v="21600"/>
  </r>
  <r>
    <s v="ORD0561"/>
    <x v="195"/>
    <s v="Customer_0561"/>
    <x v="6"/>
    <x v="1"/>
    <x v="3"/>
    <x v="3"/>
    <n v="2"/>
    <n v="1500"/>
    <n v="3000"/>
    <n v="2460"/>
    <n v="540"/>
  </r>
  <r>
    <s v="ORD0562"/>
    <x v="196"/>
    <s v="Customer_0562"/>
    <x v="5"/>
    <x v="2"/>
    <x v="1"/>
    <x v="0"/>
    <n v="3"/>
    <n v="2200"/>
    <n v="6600"/>
    <n v="5412"/>
    <n v="1188"/>
  </r>
  <r>
    <s v="ORD0563"/>
    <x v="197"/>
    <s v="Customer_0563"/>
    <x v="4"/>
    <x v="0"/>
    <x v="1"/>
    <x v="1"/>
    <n v="6"/>
    <n v="15000"/>
    <n v="90000"/>
    <n v="73800"/>
    <n v="16200"/>
  </r>
  <r>
    <s v="ORD0564"/>
    <x v="198"/>
    <s v="Customer_0564"/>
    <x v="2"/>
    <x v="0"/>
    <x v="0"/>
    <x v="0"/>
    <n v="4"/>
    <n v="12000"/>
    <n v="48000"/>
    <n v="39360"/>
    <n v="8640"/>
  </r>
  <r>
    <s v="ORD0565"/>
    <x v="199"/>
    <s v="Customer_0565"/>
    <x v="2"/>
    <x v="0"/>
    <x v="0"/>
    <x v="1"/>
    <n v="4"/>
    <n v="12000"/>
    <n v="48000"/>
    <n v="39360"/>
    <n v="8640"/>
  </r>
  <r>
    <s v="ORD0566"/>
    <x v="200"/>
    <s v="Customer_0566"/>
    <x v="6"/>
    <x v="1"/>
    <x v="0"/>
    <x v="3"/>
    <n v="5"/>
    <n v="1500"/>
    <n v="7500"/>
    <n v="6150"/>
    <n v="1350"/>
  </r>
  <r>
    <s v="ORD0567"/>
    <x v="201"/>
    <s v="Customer_0567"/>
    <x v="6"/>
    <x v="1"/>
    <x v="2"/>
    <x v="4"/>
    <n v="7"/>
    <n v="1500"/>
    <n v="10500"/>
    <n v="8610"/>
    <n v="1890"/>
  </r>
  <r>
    <s v="ORD0568"/>
    <x v="202"/>
    <s v="Customer_0568"/>
    <x v="5"/>
    <x v="2"/>
    <x v="2"/>
    <x v="2"/>
    <n v="7"/>
    <n v="2200"/>
    <n v="15400"/>
    <n v="12628"/>
    <n v="2772"/>
  </r>
  <r>
    <s v="ORD0569"/>
    <x v="203"/>
    <s v="Customer_0569"/>
    <x v="3"/>
    <x v="1"/>
    <x v="2"/>
    <x v="3"/>
    <n v="4"/>
    <n v="3000"/>
    <n v="12000"/>
    <n v="9840"/>
    <n v="2160"/>
  </r>
  <r>
    <s v="ORD0570"/>
    <x v="204"/>
    <s v="Customer_0570"/>
    <x v="2"/>
    <x v="0"/>
    <x v="3"/>
    <x v="1"/>
    <n v="6"/>
    <n v="12000"/>
    <n v="72000"/>
    <n v="59040"/>
    <n v="12960"/>
  </r>
  <r>
    <s v="ORD0571"/>
    <x v="205"/>
    <s v="Customer_0571"/>
    <x v="6"/>
    <x v="1"/>
    <x v="1"/>
    <x v="1"/>
    <n v="6"/>
    <n v="1500"/>
    <n v="9000"/>
    <n v="7380"/>
    <n v="1620"/>
  </r>
  <r>
    <s v="ORD0572"/>
    <x v="206"/>
    <s v="Customer_0572"/>
    <x v="1"/>
    <x v="1"/>
    <x v="2"/>
    <x v="4"/>
    <n v="1"/>
    <n v="800"/>
    <n v="800"/>
    <n v="656"/>
    <n v="144"/>
  </r>
  <r>
    <s v="ORD0573"/>
    <x v="207"/>
    <s v="Customer_0573"/>
    <x v="7"/>
    <x v="3"/>
    <x v="1"/>
    <x v="0"/>
    <n v="7"/>
    <n v="6500"/>
    <n v="45500"/>
    <n v="37310"/>
    <n v="8190"/>
  </r>
  <r>
    <s v="ORD0574"/>
    <x v="208"/>
    <s v="Customer_0574"/>
    <x v="1"/>
    <x v="1"/>
    <x v="3"/>
    <x v="4"/>
    <n v="7"/>
    <n v="800"/>
    <n v="5600"/>
    <n v="4592"/>
    <n v="1008"/>
  </r>
  <r>
    <s v="ORD0575"/>
    <x v="209"/>
    <s v="Customer_0575"/>
    <x v="7"/>
    <x v="3"/>
    <x v="2"/>
    <x v="0"/>
    <n v="10"/>
    <n v="6500"/>
    <n v="65000"/>
    <n v="53300"/>
    <n v="11700"/>
  </r>
  <r>
    <s v="ORD0576"/>
    <x v="210"/>
    <s v="Customer_0576"/>
    <x v="2"/>
    <x v="0"/>
    <x v="3"/>
    <x v="2"/>
    <n v="5"/>
    <n v="12000"/>
    <n v="60000"/>
    <n v="49200"/>
    <n v="10800"/>
  </r>
  <r>
    <s v="ORD0577"/>
    <x v="211"/>
    <s v="Customer_0577"/>
    <x v="3"/>
    <x v="1"/>
    <x v="0"/>
    <x v="4"/>
    <n v="7"/>
    <n v="3000"/>
    <n v="21000"/>
    <n v="17220"/>
    <n v="3780"/>
  </r>
  <r>
    <s v="ORD0578"/>
    <x v="212"/>
    <s v="Customer_0578"/>
    <x v="1"/>
    <x v="1"/>
    <x v="2"/>
    <x v="4"/>
    <n v="8"/>
    <n v="800"/>
    <n v="6400"/>
    <n v="5248"/>
    <n v="1152"/>
  </r>
  <r>
    <s v="ORD0579"/>
    <x v="213"/>
    <s v="Customer_0579"/>
    <x v="0"/>
    <x v="0"/>
    <x v="3"/>
    <x v="2"/>
    <n v="6"/>
    <n v="50000"/>
    <n v="300000"/>
    <n v="245999"/>
    <n v="54001"/>
  </r>
  <r>
    <s v="ORD0580"/>
    <x v="214"/>
    <s v="Customer_0580"/>
    <x v="1"/>
    <x v="1"/>
    <x v="0"/>
    <x v="4"/>
    <n v="5"/>
    <n v="800"/>
    <n v="4000"/>
    <n v="3280"/>
    <n v="720"/>
  </r>
  <r>
    <s v="ORD0581"/>
    <x v="215"/>
    <s v="Customer_0581"/>
    <x v="4"/>
    <x v="0"/>
    <x v="3"/>
    <x v="1"/>
    <n v="10"/>
    <n v="15000"/>
    <n v="150000"/>
    <n v="122999"/>
    <n v="27001"/>
  </r>
  <r>
    <s v="ORD0582"/>
    <x v="216"/>
    <s v="Customer_0582"/>
    <x v="5"/>
    <x v="2"/>
    <x v="1"/>
    <x v="4"/>
    <n v="3"/>
    <n v="2200"/>
    <n v="6600"/>
    <n v="5412"/>
    <n v="1188"/>
  </r>
  <r>
    <s v="ORD0583"/>
    <x v="217"/>
    <s v="Customer_0583"/>
    <x v="0"/>
    <x v="0"/>
    <x v="0"/>
    <x v="4"/>
    <n v="10"/>
    <n v="50000"/>
    <n v="500000"/>
    <n v="410000"/>
    <n v="90000"/>
  </r>
  <r>
    <s v="ORD0584"/>
    <x v="218"/>
    <s v="Customer_0584"/>
    <x v="1"/>
    <x v="1"/>
    <x v="0"/>
    <x v="3"/>
    <n v="9"/>
    <n v="800"/>
    <n v="7200"/>
    <n v="5904"/>
    <n v="1296"/>
  </r>
  <r>
    <s v="ORD0585"/>
    <x v="219"/>
    <s v="Customer_0585"/>
    <x v="0"/>
    <x v="0"/>
    <x v="0"/>
    <x v="2"/>
    <n v="4"/>
    <n v="50000"/>
    <n v="200000"/>
    <n v="164000"/>
    <n v="36000"/>
  </r>
  <r>
    <s v="ORD0586"/>
    <x v="220"/>
    <s v="Customer_0586"/>
    <x v="7"/>
    <x v="3"/>
    <x v="2"/>
    <x v="1"/>
    <n v="6"/>
    <n v="6500"/>
    <n v="39000"/>
    <n v="31979"/>
    <n v="7021"/>
  </r>
  <r>
    <s v="ORD0587"/>
    <x v="221"/>
    <s v="Customer_0587"/>
    <x v="2"/>
    <x v="0"/>
    <x v="2"/>
    <x v="1"/>
    <n v="6"/>
    <n v="12000"/>
    <n v="72000"/>
    <n v="59040"/>
    <n v="12960"/>
  </r>
  <r>
    <s v="ORD0588"/>
    <x v="222"/>
    <s v="Customer_0588"/>
    <x v="7"/>
    <x v="3"/>
    <x v="3"/>
    <x v="0"/>
    <n v="1"/>
    <n v="6500"/>
    <n v="6500"/>
    <n v="5330"/>
    <n v="1170"/>
  </r>
  <r>
    <s v="ORD0589"/>
    <x v="223"/>
    <s v="Customer_0589"/>
    <x v="4"/>
    <x v="0"/>
    <x v="1"/>
    <x v="2"/>
    <n v="6"/>
    <n v="15000"/>
    <n v="90000"/>
    <n v="73800"/>
    <n v="16200"/>
  </r>
  <r>
    <s v="ORD0590"/>
    <x v="224"/>
    <s v="Customer_0590"/>
    <x v="0"/>
    <x v="0"/>
    <x v="0"/>
    <x v="4"/>
    <n v="10"/>
    <n v="50000"/>
    <n v="500000"/>
    <n v="410000"/>
    <n v="90000"/>
  </r>
  <r>
    <s v="ORD0591"/>
    <x v="225"/>
    <s v="Customer_0591"/>
    <x v="7"/>
    <x v="3"/>
    <x v="0"/>
    <x v="3"/>
    <n v="6"/>
    <n v="6500"/>
    <n v="39000"/>
    <n v="31979"/>
    <n v="7021"/>
  </r>
  <r>
    <s v="ORD0592"/>
    <x v="226"/>
    <s v="Customer_0592"/>
    <x v="1"/>
    <x v="1"/>
    <x v="3"/>
    <x v="3"/>
    <n v="8"/>
    <n v="800"/>
    <n v="6400"/>
    <n v="5248"/>
    <n v="1152"/>
  </r>
  <r>
    <s v="ORD0593"/>
    <x v="227"/>
    <s v="Customer_0593"/>
    <x v="4"/>
    <x v="0"/>
    <x v="0"/>
    <x v="2"/>
    <n v="7"/>
    <n v="15000"/>
    <n v="105000"/>
    <n v="86100"/>
    <n v="18900"/>
  </r>
  <r>
    <s v="ORD0594"/>
    <x v="228"/>
    <s v="Customer_0594"/>
    <x v="4"/>
    <x v="0"/>
    <x v="2"/>
    <x v="2"/>
    <n v="5"/>
    <n v="15000"/>
    <n v="75000"/>
    <n v="61499"/>
    <n v="13501"/>
  </r>
  <r>
    <s v="ORD0595"/>
    <x v="229"/>
    <s v="Customer_0595"/>
    <x v="7"/>
    <x v="3"/>
    <x v="3"/>
    <x v="0"/>
    <n v="7"/>
    <n v="6500"/>
    <n v="45500"/>
    <n v="37310"/>
    <n v="8190"/>
  </r>
  <r>
    <s v="ORD0596"/>
    <x v="230"/>
    <s v="Customer_0596"/>
    <x v="4"/>
    <x v="0"/>
    <x v="2"/>
    <x v="4"/>
    <n v="7"/>
    <n v="15000"/>
    <n v="105000"/>
    <n v="86100"/>
    <n v="18900"/>
  </r>
  <r>
    <s v="ORD0597"/>
    <x v="231"/>
    <s v="Customer_0597"/>
    <x v="6"/>
    <x v="1"/>
    <x v="1"/>
    <x v="2"/>
    <n v="3"/>
    <n v="1500"/>
    <n v="4500"/>
    <n v="3690"/>
    <n v="810"/>
  </r>
  <r>
    <s v="ORD0598"/>
    <x v="232"/>
    <s v="Customer_0598"/>
    <x v="7"/>
    <x v="3"/>
    <x v="1"/>
    <x v="0"/>
    <n v="6"/>
    <n v="6500"/>
    <n v="39000"/>
    <n v="31979"/>
    <n v="7021"/>
  </r>
  <r>
    <s v="ORD0599"/>
    <x v="233"/>
    <s v="Customer_0599"/>
    <x v="1"/>
    <x v="1"/>
    <x v="1"/>
    <x v="1"/>
    <n v="8"/>
    <n v="800"/>
    <n v="6400"/>
    <n v="5248"/>
    <n v="1152"/>
  </r>
  <r>
    <s v="ORD0600"/>
    <x v="234"/>
    <s v="Customer_0600"/>
    <x v="1"/>
    <x v="1"/>
    <x v="2"/>
    <x v="0"/>
    <n v="6"/>
    <n v="800"/>
    <n v="4800"/>
    <n v="3935"/>
    <n v="865"/>
  </r>
  <r>
    <s v="ORD0601"/>
    <x v="235"/>
    <s v="Customer_0601"/>
    <x v="0"/>
    <x v="0"/>
    <x v="1"/>
    <x v="1"/>
    <n v="6"/>
    <n v="50000"/>
    <n v="300000"/>
    <n v="245999"/>
    <n v="54001"/>
  </r>
  <r>
    <s v="ORD0602"/>
    <x v="236"/>
    <s v="Customer_0602"/>
    <x v="3"/>
    <x v="1"/>
    <x v="1"/>
    <x v="2"/>
    <n v="10"/>
    <n v="3000"/>
    <n v="30000"/>
    <n v="24600"/>
    <n v="5400"/>
  </r>
  <r>
    <s v="ORD0603"/>
    <x v="237"/>
    <s v="Customer_0603"/>
    <x v="3"/>
    <x v="1"/>
    <x v="3"/>
    <x v="0"/>
    <n v="6"/>
    <n v="3000"/>
    <n v="18000"/>
    <n v="14760"/>
    <n v="3240"/>
  </r>
  <r>
    <s v="ORD0604"/>
    <x v="238"/>
    <s v="Customer_0604"/>
    <x v="5"/>
    <x v="2"/>
    <x v="3"/>
    <x v="4"/>
    <n v="6"/>
    <n v="2200"/>
    <n v="13200"/>
    <n v="10824"/>
    <n v="2376"/>
  </r>
  <r>
    <s v="ORD0605"/>
    <x v="239"/>
    <s v="Customer_0605"/>
    <x v="4"/>
    <x v="0"/>
    <x v="3"/>
    <x v="0"/>
    <n v="10"/>
    <n v="15000"/>
    <n v="150000"/>
    <n v="122999"/>
    <n v="27001"/>
  </r>
  <r>
    <s v="ORD0606"/>
    <x v="240"/>
    <s v="Customer_0606"/>
    <x v="3"/>
    <x v="1"/>
    <x v="3"/>
    <x v="3"/>
    <n v="10"/>
    <n v="3000"/>
    <n v="30000"/>
    <n v="24600"/>
    <n v="5400"/>
  </r>
  <r>
    <s v="ORD0607"/>
    <x v="241"/>
    <s v="Customer_0607"/>
    <x v="0"/>
    <x v="0"/>
    <x v="0"/>
    <x v="0"/>
    <n v="5"/>
    <n v="50000"/>
    <n v="250000"/>
    <n v="205000"/>
    <n v="45000"/>
  </r>
  <r>
    <s v="ORD0608"/>
    <x v="242"/>
    <s v="Customer_0608"/>
    <x v="0"/>
    <x v="0"/>
    <x v="0"/>
    <x v="0"/>
    <n v="3"/>
    <n v="50000"/>
    <n v="150000"/>
    <n v="122999"/>
    <n v="27001"/>
  </r>
  <r>
    <s v="ORD0609"/>
    <x v="243"/>
    <s v="Customer_0609"/>
    <x v="6"/>
    <x v="1"/>
    <x v="1"/>
    <x v="3"/>
    <n v="10"/>
    <n v="1500"/>
    <n v="15000"/>
    <n v="12300"/>
    <n v="2700"/>
  </r>
  <r>
    <s v="ORD0610"/>
    <x v="244"/>
    <s v="Customer_0610"/>
    <x v="0"/>
    <x v="0"/>
    <x v="3"/>
    <x v="0"/>
    <n v="6"/>
    <n v="50000"/>
    <n v="300000"/>
    <n v="245999"/>
    <n v="54001"/>
  </r>
  <r>
    <s v="ORD0611"/>
    <x v="245"/>
    <s v="Customer_0611"/>
    <x v="3"/>
    <x v="1"/>
    <x v="0"/>
    <x v="2"/>
    <n v="7"/>
    <n v="3000"/>
    <n v="21000"/>
    <n v="17220"/>
    <n v="3780"/>
  </r>
  <r>
    <s v="ORD0612"/>
    <x v="246"/>
    <s v="Customer_0612"/>
    <x v="4"/>
    <x v="0"/>
    <x v="0"/>
    <x v="2"/>
    <n v="6"/>
    <n v="15000"/>
    <n v="90000"/>
    <n v="73800"/>
    <n v="16200"/>
  </r>
  <r>
    <s v="ORD0613"/>
    <x v="247"/>
    <s v="Customer_0613"/>
    <x v="2"/>
    <x v="0"/>
    <x v="3"/>
    <x v="4"/>
    <n v="8"/>
    <n v="12000"/>
    <n v="96000"/>
    <n v="78720"/>
    <n v="17280"/>
  </r>
  <r>
    <s v="ORD0614"/>
    <x v="248"/>
    <s v="Customer_0614"/>
    <x v="1"/>
    <x v="1"/>
    <x v="3"/>
    <x v="2"/>
    <n v="2"/>
    <n v="800"/>
    <n v="1600"/>
    <n v="1312"/>
    <n v="288"/>
  </r>
  <r>
    <s v="ORD0615"/>
    <x v="249"/>
    <s v="Customer_0615"/>
    <x v="4"/>
    <x v="0"/>
    <x v="1"/>
    <x v="1"/>
    <n v="8"/>
    <n v="15000"/>
    <n v="120000"/>
    <n v="98400"/>
    <n v="21600"/>
  </r>
  <r>
    <s v="ORD0616"/>
    <x v="250"/>
    <s v="Customer_0616"/>
    <x v="0"/>
    <x v="0"/>
    <x v="2"/>
    <x v="3"/>
    <n v="10"/>
    <n v="50000"/>
    <n v="500000"/>
    <n v="410000"/>
    <n v="90000"/>
  </r>
  <r>
    <s v="ORD0617"/>
    <x v="251"/>
    <s v="Customer_0617"/>
    <x v="7"/>
    <x v="3"/>
    <x v="1"/>
    <x v="0"/>
    <n v="5"/>
    <n v="6500"/>
    <n v="32500"/>
    <n v="26650"/>
    <n v="5850"/>
  </r>
  <r>
    <s v="ORD0618"/>
    <x v="252"/>
    <s v="Customer_0618"/>
    <x v="4"/>
    <x v="0"/>
    <x v="2"/>
    <x v="1"/>
    <n v="1"/>
    <n v="15000"/>
    <n v="15000"/>
    <n v="12300"/>
    <n v="2700"/>
  </r>
  <r>
    <s v="ORD0619"/>
    <x v="253"/>
    <s v="Customer_0619"/>
    <x v="3"/>
    <x v="1"/>
    <x v="3"/>
    <x v="2"/>
    <n v="5"/>
    <n v="3000"/>
    <n v="15000"/>
    <n v="12300"/>
    <n v="2700"/>
  </r>
  <r>
    <s v="ORD0620"/>
    <x v="254"/>
    <s v="Customer_0620"/>
    <x v="3"/>
    <x v="1"/>
    <x v="2"/>
    <x v="2"/>
    <n v="5"/>
    <n v="3000"/>
    <n v="15000"/>
    <n v="12300"/>
    <n v="2700"/>
  </r>
  <r>
    <s v="ORD0621"/>
    <x v="255"/>
    <s v="Customer_0621"/>
    <x v="3"/>
    <x v="1"/>
    <x v="1"/>
    <x v="4"/>
    <n v="9"/>
    <n v="3000"/>
    <n v="27000"/>
    <n v="22140"/>
    <n v="4860"/>
  </r>
  <r>
    <s v="ORD0622"/>
    <x v="256"/>
    <s v="Customer_0622"/>
    <x v="4"/>
    <x v="0"/>
    <x v="1"/>
    <x v="3"/>
    <n v="9"/>
    <n v="15000"/>
    <n v="135000"/>
    <n v="110700"/>
    <n v="24300"/>
  </r>
  <r>
    <s v="ORD0623"/>
    <x v="257"/>
    <s v="Customer_0623"/>
    <x v="2"/>
    <x v="0"/>
    <x v="2"/>
    <x v="3"/>
    <n v="3"/>
    <n v="12000"/>
    <n v="36000"/>
    <n v="29520"/>
    <n v="6480"/>
  </r>
  <r>
    <s v="ORD0624"/>
    <x v="258"/>
    <s v="Customer_0624"/>
    <x v="7"/>
    <x v="3"/>
    <x v="3"/>
    <x v="0"/>
    <n v="10"/>
    <n v="6500"/>
    <n v="65000"/>
    <n v="53300"/>
    <n v="11700"/>
  </r>
  <r>
    <s v="ORD0625"/>
    <x v="259"/>
    <s v="Customer_0625"/>
    <x v="2"/>
    <x v="0"/>
    <x v="1"/>
    <x v="2"/>
    <n v="2"/>
    <n v="12000"/>
    <n v="24000"/>
    <n v="19680"/>
    <n v="4320"/>
  </r>
  <r>
    <s v="ORD0626"/>
    <x v="260"/>
    <s v="Customer_0626"/>
    <x v="7"/>
    <x v="3"/>
    <x v="0"/>
    <x v="2"/>
    <n v="8"/>
    <n v="6500"/>
    <n v="52000"/>
    <n v="42640"/>
    <n v="9360"/>
  </r>
  <r>
    <s v="ORD0627"/>
    <x v="261"/>
    <s v="Customer_0627"/>
    <x v="4"/>
    <x v="0"/>
    <x v="1"/>
    <x v="4"/>
    <n v="1"/>
    <n v="15000"/>
    <n v="15000"/>
    <n v="12300"/>
    <n v="2700"/>
  </r>
  <r>
    <s v="ORD0628"/>
    <x v="262"/>
    <s v="Customer_0628"/>
    <x v="1"/>
    <x v="1"/>
    <x v="0"/>
    <x v="3"/>
    <n v="6"/>
    <n v="800"/>
    <n v="4800"/>
    <n v="3935"/>
    <n v="865"/>
  </r>
  <r>
    <s v="ORD0629"/>
    <x v="263"/>
    <s v="Customer_0629"/>
    <x v="7"/>
    <x v="3"/>
    <x v="1"/>
    <x v="3"/>
    <n v="8"/>
    <n v="6500"/>
    <n v="52000"/>
    <n v="42640"/>
    <n v="9360"/>
  </r>
  <r>
    <s v="ORD0630"/>
    <x v="264"/>
    <s v="Customer_0630"/>
    <x v="5"/>
    <x v="2"/>
    <x v="2"/>
    <x v="3"/>
    <n v="2"/>
    <n v="2200"/>
    <n v="4400"/>
    <n v="3608"/>
    <n v="792"/>
  </r>
  <r>
    <s v="ORD0631"/>
    <x v="265"/>
    <s v="Customer_0631"/>
    <x v="6"/>
    <x v="1"/>
    <x v="2"/>
    <x v="2"/>
    <n v="6"/>
    <n v="1500"/>
    <n v="9000"/>
    <n v="7380"/>
    <n v="1620"/>
  </r>
  <r>
    <s v="ORD0632"/>
    <x v="266"/>
    <s v="Customer_0632"/>
    <x v="2"/>
    <x v="0"/>
    <x v="2"/>
    <x v="4"/>
    <n v="8"/>
    <n v="12000"/>
    <n v="96000"/>
    <n v="78720"/>
    <n v="17280"/>
  </r>
  <r>
    <s v="ORD0633"/>
    <x v="267"/>
    <s v="Customer_0633"/>
    <x v="6"/>
    <x v="1"/>
    <x v="2"/>
    <x v="1"/>
    <n v="9"/>
    <n v="1500"/>
    <n v="13500"/>
    <n v="11070"/>
    <n v="2430"/>
  </r>
  <r>
    <s v="ORD0634"/>
    <x v="268"/>
    <s v="Customer_0634"/>
    <x v="3"/>
    <x v="1"/>
    <x v="0"/>
    <x v="2"/>
    <n v="10"/>
    <n v="3000"/>
    <n v="30000"/>
    <n v="24600"/>
    <n v="5400"/>
  </r>
  <r>
    <s v="ORD0635"/>
    <x v="269"/>
    <s v="Customer_0635"/>
    <x v="7"/>
    <x v="3"/>
    <x v="0"/>
    <x v="3"/>
    <n v="7"/>
    <n v="6500"/>
    <n v="45500"/>
    <n v="37310"/>
    <n v="8190"/>
  </r>
  <r>
    <s v="ORD0636"/>
    <x v="270"/>
    <s v="Customer_0636"/>
    <x v="3"/>
    <x v="1"/>
    <x v="1"/>
    <x v="0"/>
    <n v="2"/>
    <n v="3000"/>
    <n v="6000"/>
    <n v="4920"/>
    <n v="1080"/>
  </r>
  <r>
    <s v="ORD0637"/>
    <x v="271"/>
    <s v="Customer_0637"/>
    <x v="2"/>
    <x v="0"/>
    <x v="1"/>
    <x v="2"/>
    <n v="3"/>
    <n v="12000"/>
    <n v="36000"/>
    <n v="29520"/>
    <n v="6480"/>
  </r>
  <r>
    <s v="ORD0638"/>
    <x v="272"/>
    <s v="Customer_0638"/>
    <x v="2"/>
    <x v="0"/>
    <x v="2"/>
    <x v="4"/>
    <n v="4"/>
    <n v="12000"/>
    <n v="48000"/>
    <n v="39360"/>
    <n v="8640"/>
  </r>
  <r>
    <s v="ORD0639"/>
    <x v="273"/>
    <s v="Customer_0639"/>
    <x v="5"/>
    <x v="2"/>
    <x v="2"/>
    <x v="0"/>
    <n v="7"/>
    <n v="2200"/>
    <n v="15400"/>
    <n v="12628"/>
    <n v="2772"/>
  </r>
  <r>
    <s v="ORD0640"/>
    <x v="274"/>
    <s v="Customer_0640"/>
    <x v="3"/>
    <x v="1"/>
    <x v="2"/>
    <x v="1"/>
    <n v="1"/>
    <n v="3000"/>
    <n v="3000"/>
    <n v="2460"/>
    <n v="540"/>
  </r>
  <r>
    <s v="ORD0641"/>
    <x v="275"/>
    <s v="Customer_0641"/>
    <x v="5"/>
    <x v="2"/>
    <x v="0"/>
    <x v="2"/>
    <n v="4"/>
    <n v="2200"/>
    <n v="8800"/>
    <n v="7216"/>
    <n v="1584"/>
  </r>
  <r>
    <s v="ORD0642"/>
    <x v="276"/>
    <s v="Customer_0642"/>
    <x v="2"/>
    <x v="0"/>
    <x v="3"/>
    <x v="2"/>
    <n v="2"/>
    <n v="12000"/>
    <n v="24000"/>
    <n v="19680"/>
    <n v="4320"/>
  </r>
  <r>
    <s v="ORD0643"/>
    <x v="277"/>
    <s v="Customer_0643"/>
    <x v="1"/>
    <x v="1"/>
    <x v="3"/>
    <x v="0"/>
    <n v="5"/>
    <n v="800"/>
    <n v="4000"/>
    <n v="3280"/>
    <n v="720"/>
  </r>
  <r>
    <s v="ORD0644"/>
    <x v="278"/>
    <s v="Customer_0644"/>
    <x v="3"/>
    <x v="1"/>
    <x v="1"/>
    <x v="2"/>
    <n v="3"/>
    <n v="3000"/>
    <n v="9000"/>
    <n v="7380"/>
    <n v="1620"/>
  </r>
  <r>
    <s v="ORD0645"/>
    <x v="279"/>
    <s v="Customer_0645"/>
    <x v="6"/>
    <x v="1"/>
    <x v="0"/>
    <x v="1"/>
    <n v="6"/>
    <n v="1500"/>
    <n v="9000"/>
    <n v="7380"/>
    <n v="1620"/>
  </r>
  <r>
    <s v="ORD0646"/>
    <x v="280"/>
    <s v="Customer_0646"/>
    <x v="6"/>
    <x v="1"/>
    <x v="0"/>
    <x v="0"/>
    <n v="7"/>
    <n v="1500"/>
    <n v="10500"/>
    <n v="8610"/>
    <n v="1890"/>
  </r>
  <r>
    <s v="ORD0647"/>
    <x v="281"/>
    <s v="Customer_0647"/>
    <x v="6"/>
    <x v="1"/>
    <x v="2"/>
    <x v="1"/>
    <n v="8"/>
    <n v="1500"/>
    <n v="12000"/>
    <n v="9840"/>
    <n v="2160"/>
  </r>
  <r>
    <s v="ORD0648"/>
    <x v="282"/>
    <s v="Customer_0648"/>
    <x v="7"/>
    <x v="3"/>
    <x v="3"/>
    <x v="1"/>
    <n v="7"/>
    <n v="6500"/>
    <n v="45500"/>
    <n v="37310"/>
    <n v="8190"/>
  </r>
  <r>
    <s v="ORD0649"/>
    <x v="283"/>
    <s v="Customer_0649"/>
    <x v="2"/>
    <x v="0"/>
    <x v="1"/>
    <x v="2"/>
    <n v="10"/>
    <n v="12000"/>
    <n v="120000"/>
    <n v="98400"/>
    <n v="21600"/>
  </r>
  <r>
    <s v="ORD0650"/>
    <x v="284"/>
    <s v="Customer_0650"/>
    <x v="2"/>
    <x v="0"/>
    <x v="1"/>
    <x v="3"/>
    <n v="8"/>
    <n v="12000"/>
    <n v="96000"/>
    <n v="78720"/>
    <n v="17280"/>
  </r>
  <r>
    <s v="ORD0651"/>
    <x v="285"/>
    <s v="Customer_0651"/>
    <x v="7"/>
    <x v="3"/>
    <x v="1"/>
    <x v="2"/>
    <n v="9"/>
    <n v="6500"/>
    <n v="58500"/>
    <n v="47970"/>
    <n v="10530"/>
  </r>
  <r>
    <s v="ORD0652"/>
    <x v="286"/>
    <s v="Customer_0652"/>
    <x v="4"/>
    <x v="0"/>
    <x v="1"/>
    <x v="4"/>
    <n v="9"/>
    <n v="15000"/>
    <n v="135000"/>
    <n v="110700"/>
    <n v="24300"/>
  </r>
  <r>
    <s v="ORD0653"/>
    <x v="287"/>
    <s v="Customer_0653"/>
    <x v="4"/>
    <x v="0"/>
    <x v="2"/>
    <x v="3"/>
    <n v="9"/>
    <n v="15000"/>
    <n v="135000"/>
    <n v="110700"/>
    <n v="24300"/>
  </r>
  <r>
    <s v="ORD0654"/>
    <x v="288"/>
    <s v="Customer_0654"/>
    <x v="2"/>
    <x v="0"/>
    <x v="2"/>
    <x v="1"/>
    <n v="5"/>
    <n v="12000"/>
    <n v="60000"/>
    <n v="49200"/>
    <n v="10800"/>
  </r>
  <r>
    <s v="ORD0655"/>
    <x v="289"/>
    <s v="Customer_0655"/>
    <x v="7"/>
    <x v="3"/>
    <x v="3"/>
    <x v="3"/>
    <n v="7"/>
    <n v="6500"/>
    <n v="45500"/>
    <n v="37310"/>
    <n v="8190"/>
  </r>
  <r>
    <s v="ORD0656"/>
    <x v="290"/>
    <s v="Customer_0656"/>
    <x v="1"/>
    <x v="1"/>
    <x v="0"/>
    <x v="2"/>
    <n v="8"/>
    <n v="800"/>
    <n v="6400"/>
    <n v="5248"/>
    <n v="1152"/>
  </r>
  <r>
    <s v="ORD0657"/>
    <x v="291"/>
    <s v="Customer_0657"/>
    <x v="0"/>
    <x v="0"/>
    <x v="1"/>
    <x v="4"/>
    <n v="6"/>
    <n v="50000"/>
    <n v="300000"/>
    <n v="245999"/>
    <n v="54001"/>
  </r>
  <r>
    <s v="ORD0658"/>
    <x v="292"/>
    <s v="Customer_0658"/>
    <x v="0"/>
    <x v="0"/>
    <x v="0"/>
    <x v="0"/>
    <n v="4"/>
    <n v="50000"/>
    <n v="200000"/>
    <n v="164000"/>
    <n v="36000"/>
  </r>
  <r>
    <s v="ORD0659"/>
    <x v="293"/>
    <s v="Customer_0659"/>
    <x v="0"/>
    <x v="0"/>
    <x v="1"/>
    <x v="1"/>
    <n v="1"/>
    <n v="50000"/>
    <n v="50000"/>
    <n v="41000"/>
    <n v="9000"/>
  </r>
  <r>
    <s v="ORD0660"/>
    <x v="294"/>
    <s v="Customer_0660"/>
    <x v="3"/>
    <x v="1"/>
    <x v="0"/>
    <x v="2"/>
    <n v="2"/>
    <n v="3000"/>
    <n v="6000"/>
    <n v="4920"/>
    <n v="1080"/>
  </r>
  <r>
    <s v="ORD0661"/>
    <x v="295"/>
    <s v="Customer_0661"/>
    <x v="2"/>
    <x v="0"/>
    <x v="1"/>
    <x v="1"/>
    <n v="10"/>
    <n v="12000"/>
    <n v="120000"/>
    <n v="98400"/>
    <n v="21600"/>
  </r>
  <r>
    <s v="ORD0662"/>
    <x v="296"/>
    <s v="Customer_0662"/>
    <x v="1"/>
    <x v="1"/>
    <x v="2"/>
    <x v="3"/>
    <n v="1"/>
    <n v="800"/>
    <n v="800"/>
    <n v="656"/>
    <n v="144"/>
  </r>
  <r>
    <s v="ORD0663"/>
    <x v="297"/>
    <s v="Customer_0663"/>
    <x v="3"/>
    <x v="1"/>
    <x v="3"/>
    <x v="3"/>
    <n v="3"/>
    <n v="3000"/>
    <n v="9000"/>
    <n v="7380"/>
    <n v="1620"/>
  </r>
  <r>
    <s v="ORD0664"/>
    <x v="298"/>
    <s v="Customer_0664"/>
    <x v="0"/>
    <x v="0"/>
    <x v="2"/>
    <x v="4"/>
    <n v="4"/>
    <n v="50000"/>
    <n v="200000"/>
    <n v="164000"/>
    <n v="36000"/>
  </r>
  <r>
    <s v="ORD0665"/>
    <x v="299"/>
    <s v="Customer_0665"/>
    <x v="7"/>
    <x v="3"/>
    <x v="2"/>
    <x v="1"/>
    <n v="8"/>
    <n v="6500"/>
    <n v="52000"/>
    <n v="42640"/>
    <n v="9360"/>
  </r>
  <r>
    <s v="ORD0666"/>
    <x v="300"/>
    <s v="Customer_0666"/>
    <x v="1"/>
    <x v="1"/>
    <x v="3"/>
    <x v="4"/>
    <n v="2"/>
    <n v="800"/>
    <n v="1600"/>
    <n v="1312"/>
    <n v="288"/>
  </r>
  <r>
    <s v="ORD0667"/>
    <x v="301"/>
    <s v="Customer_0667"/>
    <x v="2"/>
    <x v="0"/>
    <x v="3"/>
    <x v="2"/>
    <n v="10"/>
    <n v="12000"/>
    <n v="120000"/>
    <n v="98400"/>
    <n v="21600"/>
  </r>
  <r>
    <s v="ORD0668"/>
    <x v="302"/>
    <s v="Customer_0668"/>
    <x v="2"/>
    <x v="0"/>
    <x v="0"/>
    <x v="0"/>
    <n v="9"/>
    <n v="12000"/>
    <n v="108000"/>
    <n v="88560"/>
    <n v="19440"/>
  </r>
  <r>
    <s v="ORD0669"/>
    <x v="303"/>
    <s v="Customer_0669"/>
    <x v="4"/>
    <x v="0"/>
    <x v="2"/>
    <x v="3"/>
    <n v="5"/>
    <n v="15000"/>
    <n v="75000"/>
    <n v="61499"/>
    <n v="13501"/>
  </r>
  <r>
    <s v="ORD0670"/>
    <x v="304"/>
    <s v="Customer_0670"/>
    <x v="7"/>
    <x v="3"/>
    <x v="2"/>
    <x v="3"/>
    <n v="10"/>
    <n v="6500"/>
    <n v="65000"/>
    <n v="53300"/>
    <n v="11700"/>
  </r>
  <r>
    <s v="ORD0671"/>
    <x v="305"/>
    <s v="Customer_0671"/>
    <x v="5"/>
    <x v="2"/>
    <x v="0"/>
    <x v="1"/>
    <n v="2"/>
    <n v="2200"/>
    <n v="4400"/>
    <n v="3608"/>
    <n v="792"/>
  </r>
  <r>
    <s v="ORD0672"/>
    <x v="306"/>
    <s v="Customer_0672"/>
    <x v="1"/>
    <x v="1"/>
    <x v="2"/>
    <x v="2"/>
    <n v="10"/>
    <n v="800"/>
    <n v="8000"/>
    <n v="6560"/>
    <n v="1440"/>
  </r>
  <r>
    <s v="ORD0673"/>
    <x v="307"/>
    <s v="Customer_0673"/>
    <x v="2"/>
    <x v="0"/>
    <x v="1"/>
    <x v="0"/>
    <n v="5"/>
    <n v="12000"/>
    <n v="60000"/>
    <n v="49200"/>
    <n v="10800"/>
  </r>
  <r>
    <s v="ORD0674"/>
    <x v="308"/>
    <s v="Customer_0674"/>
    <x v="0"/>
    <x v="0"/>
    <x v="2"/>
    <x v="4"/>
    <n v="5"/>
    <n v="50000"/>
    <n v="250000"/>
    <n v="205000"/>
    <n v="45000"/>
  </r>
  <r>
    <s v="ORD0675"/>
    <x v="309"/>
    <s v="Customer_0675"/>
    <x v="5"/>
    <x v="2"/>
    <x v="2"/>
    <x v="3"/>
    <n v="9"/>
    <n v="2200"/>
    <n v="19800"/>
    <n v="16235"/>
    <n v="3565"/>
  </r>
  <r>
    <s v="ORD0676"/>
    <x v="310"/>
    <s v="Customer_0676"/>
    <x v="7"/>
    <x v="3"/>
    <x v="1"/>
    <x v="3"/>
    <n v="4"/>
    <n v="6500"/>
    <n v="26000"/>
    <n v="21320"/>
    <n v="4680"/>
  </r>
  <r>
    <s v="ORD0677"/>
    <x v="311"/>
    <s v="Customer_0677"/>
    <x v="4"/>
    <x v="0"/>
    <x v="2"/>
    <x v="4"/>
    <n v="4"/>
    <n v="15000"/>
    <n v="60000"/>
    <n v="49200"/>
    <n v="10800"/>
  </r>
  <r>
    <s v="ORD0678"/>
    <x v="312"/>
    <s v="Customer_0678"/>
    <x v="3"/>
    <x v="1"/>
    <x v="3"/>
    <x v="0"/>
    <n v="6"/>
    <n v="3000"/>
    <n v="18000"/>
    <n v="14760"/>
    <n v="3240"/>
  </r>
  <r>
    <s v="ORD0679"/>
    <x v="313"/>
    <s v="Customer_0679"/>
    <x v="3"/>
    <x v="1"/>
    <x v="0"/>
    <x v="0"/>
    <n v="4"/>
    <n v="3000"/>
    <n v="12000"/>
    <n v="9840"/>
    <n v="2160"/>
  </r>
  <r>
    <s v="ORD0680"/>
    <x v="314"/>
    <s v="Customer_0680"/>
    <x v="4"/>
    <x v="0"/>
    <x v="0"/>
    <x v="0"/>
    <n v="6"/>
    <n v="15000"/>
    <n v="90000"/>
    <n v="73800"/>
    <n v="16200"/>
  </r>
  <r>
    <s v="ORD0681"/>
    <x v="315"/>
    <s v="Customer_0681"/>
    <x v="2"/>
    <x v="0"/>
    <x v="0"/>
    <x v="0"/>
    <n v="5"/>
    <n v="12000"/>
    <n v="60000"/>
    <n v="49200"/>
    <n v="10800"/>
  </r>
  <r>
    <s v="ORD0682"/>
    <x v="316"/>
    <s v="Customer_0682"/>
    <x v="0"/>
    <x v="0"/>
    <x v="0"/>
    <x v="4"/>
    <n v="8"/>
    <n v="50000"/>
    <n v="400000"/>
    <n v="328000"/>
    <n v="72000"/>
  </r>
  <r>
    <s v="ORD0683"/>
    <x v="317"/>
    <s v="Customer_0683"/>
    <x v="6"/>
    <x v="1"/>
    <x v="0"/>
    <x v="0"/>
    <n v="5"/>
    <n v="1500"/>
    <n v="7500"/>
    <n v="6150"/>
    <n v="1350"/>
  </r>
  <r>
    <s v="ORD0684"/>
    <x v="318"/>
    <s v="Customer_0684"/>
    <x v="0"/>
    <x v="0"/>
    <x v="0"/>
    <x v="2"/>
    <n v="3"/>
    <n v="50000"/>
    <n v="150000"/>
    <n v="122999"/>
    <n v="27001"/>
  </r>
  <r>
    <s v="ORD0685"/>
    <x v="319"/>
    <s v="Customer_0685"/>
    <x v="1"/>
    <x v="1"/>
    <x v="2"/>
    <x v="0"/>
    <n v="2"/>
    <n v="800"/>
    <n v="1600"/>
    <n v="1312"/>
    <n v="288"/>
  </r>
  <r>
    <s v="ORD0686"/>
    <x v="320"/>
    <s v="Customer_0686"/>
    <x v="0"/>
    <x v="0"/>
    <x v="2"/>
    <x v="0"/>
    <n v="6"/>
    <n v="50000"/>
    <n v="300000"/>
    <n v="245999"/>
    <n v="54001"/>
  </r>
  <r>
    <s v="ORD0687"/>
    <x v="321"/>
    <s v="Customer_0687"/>
    <x v="5"/>
    <x v="2"/>
    <x v="0"/>
    <x v="2"/>
    <n v="5"/>
    <n v="2200"/>
    <n v="11000"/>
    <n v="9020"/>
    <n v="1980"/>
  </r>
  <r>
    <s v="ORD0688"/>
    <x v="322"/>
    <s v="Customer_0688"/>
    <x v="2"/>
    <x v="0"/>
    <x v="0"/>
    <x v="1"/>
    <n v="6"/>
    <n v="12000"/>
    <n v="72000"/>
    <n v="59040"/>
    <n v="12960"/>
  </r>
  <r>
    <s v="ORD0689"/>
    <x v="323"/>
    <s v="Customer_0689"/>
    <x v="6"/>
    <x v="1"/>
    <x v="1"/>
    <x v="0"/>
    <n v="5"/>
    <n v="1500"/>
    <n v="7500"/>
    <n v="6150"/>
    <n v="1350"/>
  </r>
  <r>
    <s v="ORD0690"/>
    <x v="324"/>
    <s v="Customer_0690"/>
    <x v="5"/>
    <x v="2"/>
    <x v="1"/>
    <x v="1"/>
    <n v="5"/>
    <n v="2200"/>
    <n v="11000"/>
    <n v="9020"/>
    <n v="1980"/>
  </r>
  <r>
    <s v="ORD0691"/>
    <x v="325"/>
    <s v="Customer_0691"/>
    <x v="5"/>
    <x v="2"/>
    <x v="1"/>
    <x v="2"/>
    <n v="7"/>
    <n v="2200"/>
    <n v="15400"/>
    <n v="12628"/>
    <n v="2772"/>
  </r>
  <r>
    <s v="ORD0692"/>
    <x v="326"/>
    <s v="Customer_0692"/>
    <x v="6"/>
    <x v="1"/>
    <x v="3"/>
    <x v="1"/>
    <n v="7"/>
    <n v="1500"/>
    <n v="10500"/>
    <n v="8610"/>
    <n v="1890"/>
  </r>
  <r>
    <s v="ORD0693"/>
    <x v="327"/>
    <s v="Customer_0693"/>
    <x v="4"/>
    <x v="0"/>
    <x v="2"/>
    <x v="4"/>
    <n v="4"/>
    <n v="15000"/>
    <n v="60000"/>
    <n v="49200"/>
    <n v="10800"/>
  </r>
  <r>
    <s v="ORD0694"/>
    <x v="328"/>
    <s v="Customer_0694"/>
    <x v="5"/>
    <x v="2"/>
    <x v="3"/>
    <x v="3"/>
    <n v="8"/>
    <n v="2200"/>
    <n v="17600"/>
    <n v="14432"/>
    <n v="3168"/>
  </r>
  <r>
    <s v="ORD0695"/>
    <x v="329"/>
    <s v="Customer_0695"/>
    <x v="1"/>
    <x v="1"/>
    <x v="1"/>
    <x v="3"/>
    <n v="3"/>
    <n v="800"/>
    <n v="2400"/>
    <n v="1967"/>
    <n v="433"/>
  </r>
  <r>
    <s v="ORD0696"/>
    <x v="330"/>
    <s v="Customer_0696"/>
    <x v="6"/>
    <x v="1"/>
    <x v="0"/>
    <x v="3"/>
    <n v="3"/>
    <n v="1500"/>
    <n v="4500"/>
    <n v="3690"/>
    <n v="810"/>
  </r>
  <r>
    <s v="ORD0697"/>
    <x v="331"/>
    <s v="Customer_0697"/>
    <x v="2"/>
    <x v="0"/>
    <x v="1"/>
    <x v="2"/>
    <n v="9"/>
    <n v="12000"/>
    <n v="108000"/>
    <n v="88560"/>
    <n v="19440"/>
  </r>
  <r>
    <s v="ORD0698"/>
    <x v="332"/>
    <s v="Customer_0698"/>
    <x v="1"/>
    <x v="1"/>
    <x v="1"/>
    <x v="0"/>
    <n v="7"/>
    <n v="800"/>
    <n v="5600"/>
    <n v="4592"/>
    <n v="1008"/>
  </r>
  <r>
    <s v="ORD0699"/>
    <x v="333"/>
    <s v="Customer_0699"/>
    <x v="2"/>
    <x v="0"/>
    <x v="0"/>
    <x v="3"/>
    <n v="2"/>
    <n v="12000"/>
    <n v="24000"/>
    <n v="19680"/>
    <n v="4320"/>
  </r>
  <r>
    <s v="ORD0700"/>
    <x v="334"/>
    <s v="Customer_0700"/>
    <x v="6"/>
    <x v="1"/>
    <x v="1"/>
    <x v="3"/>
    <n v="9"/>
    <n v="1500"/>
    <n v="13500"/>
    <n v="11070"/>
    <n v="2430"/>
  </r>
  <r>
    <s v="ORD0701"/>
    <x v="335"/>
    <s v="Customer_0701"/>
    <x v="0"/>
    <x v="0"/>
    <x v="0"/>
    <x v="0"/>
    <n v="5"/>
    <n v="50000"/>
    <n v="250000"/>
    <n v="205000"/>
    <n v="45000"/>
  </r>
  <r>
    <s v="ORD0702"/>
    <x v="336"/>
    <s v="Customer_0702"/>
    <x v="4"/>
    <x v="0"/>
    <x v="0"/>
    <x v="2"/>
    <n v="9"/>
    <n v="15000"/>
    <n v="135000"/>
    <n v="110700"/>
    <n v="24300"/>
  </r>
  <r>
    <s v="ORD0703"/>
    <x v="337"/>
    <s v="Customer_0703"/>
    <x v="5"/>
    <x v="2"/>
    <x v="1"/>
    <x v="2"/>
    <n v="10"/>
    <n v="2200"/>
    <n v="22000"/>
    <n v="18040"/>
    <n v="3960"/>
  </r>
  <r>
    <s v="ORD0704"/>
    <x v="338"/>
    <s v="Customer_0704"/>
    <x v="0"/>
    <x v="0"/>
    <x v="2"/>
    <x v="1"/>
    <n v="5"/>
    <n v="50000"/>
    <n v="250000"/>
    <n v="205000"/>
    <n v="45000"/>
  </r>
  <r>
    <s v="ORD0705"/>
    <x v="339"/>
    <s v="Customer_0705"/>
    <x v="0"/>
    <x v="0"/>
    <x v="2"/>
    <x v="4"/>
    <n v="7"/>
    <n v="50000"/>
    <n v="350000"/>
    <n v="287000"/>
    <n v="63000"/>
  </r>
  <r>
    <s v="ORD0706"/>
    <x v="340"/>
    <s v="Customer_0706"/>
    <x v="7"/>
    <x v="3"/>
    <x v="2"/>
    <x v="2"/>
    <n v="6"/>
    <n v="6500"/>
    <n v="39000"/>
    <n v="31979"/>
    <n v="7021"/>
  </r>
  <r>
    <s v="ORD0707"/>
    <x v="341"/>
    <s v="Customer_0707"/>
    <x v="3"/>
    <x v="1"/>
    <x v="0"/>
    <x v="1"/>
    <n v="2"/>
    <n v="3000"/>
    <n v="6000"/>
    <n v="4920"/>
    <n v="1080"/>
  </r>
  <r>
    <s v="ORD0708"/>
    <x v="342"/>
    <s v="Customer_0708"/>
    <x v="1"/>
    <x v="1"/>
    <x v="0"/>
    <x v="4"/>
    <n v="8"/>
    <n v="800"/>
    <n v="6400"/>
    <n v="5248"/>
    <n v="1152"/>
  </r>
  <r>
    <s v="ORD0709"/>
    <x v="343"/>
    <s v="Customer_0709"/>
    <x v="2"/>
    <x v="0"/>
    <x v="1"/>
    <x v="1"/>
    <n v="6"/>
    <n v="12000"/>
    <n v="72000"/>
    <n v="59040"/>
    <n v="12960"/>
  </r>
  <r>
    <s v="ORD0710"/>
    <x v="344"/>
    <s v="Customer_0710"/>
    <x v="5"/>
    <x v="2"/>
    <x v="1"/>
    <x v="3"/>
    <n v="4"/>
    <n v="2200"/>
    <n v="8800"/>
    <n v="7216"/>
    <n v="1584"/>
  </r>
  <r>
    <s v="ORD0711"/>
    <x v="345"/>
    <s v="Customer_0711"/>
    <x v="1"/>
    <x v="1"/>
    <x v="2"/>
    <x v="1"/>
    <n v="3"/>
    <n v="800"/>
    <n v="2400"/>
    <n v="1967"/>
    <n v="433"/>
  </r>
  <r>
    <s v="ORD0712"/>
    <x v="346"/>
    <s v="Customer_0712"/>
    <x v="5"/>
    <x v="2"/>
    <x v="0"/>
    <x v="1"/>
    <n v="1"/>
    <n v="2200"/>
    <n v="2200"/>
    <n v="1804"/>
    <n v="396"/>
  </r>
  <r>
    <s v="ORD0713"/>
    <x v="347"/>
    <s v="Customer_0713"/>
    <x v="7"/>
    <x v="3"/>
    <x v="2"/>
    <x v="3"/>
    <n v="1"/>
    <n v="6500"/>
    <n v="6500"/>
    <n v="5330"/>
    <n v="1170"/>
  </r>
  <r>
    <s v="ORD0714"/>
    <x v="348"/>
    <s v="Customer_0714"/>
    <x v="2"/>
    <x v="0"/>
    <x v="3"/>
    <x v="2"/>
    <n v="7"/>
    <n v="12000"/>
    <n v="84000"/>
    <n v="68880"/>
    <n v="15120"/>
  </r>
  <r>
    <s v="ORD0715"/>
    <x v="349"/>
    <s v="Customer_0715"/>
    <x v="2"/>
    <x v="0"/>
    <x v="0"/>
    <x v="1"/>
    <n v="5"/>
    <n v="12000"/>
    <n v="60000"/>
    <n v="49200"/>
    <n v="10800"/>
  </r>
  <r>
    <s v="ORD0716"/>
    <x v="350"/>
    <s v="Customer_0716"/>
    <x v="7"/>
    <x v="3"/>
    <x v="1"/>
    <x v="1"/>
    <n v="3"/>
    <n v="6500"/>
    <n v="19500"/>
    <n v="15989"/>
    <n v="3511"/>
  </r>
  <r>
    <s v="ORD0717"/>
    <x v="351"/>
    <s v="Customer_0717"/>
    <x v="2"/>
    <x v="0"/>
    <x v="1"/>
    <x v="3"/>
    <n v="6"/>
    <n v="12000"/>
    <n v="72000"/>
    <n v="59040"/>
    <n v="12960"/>
  </r>
  <r>
    <s v="ORD0718"/>
    <x v="352"/>
    <s v="Customer_0718"/>
    <x v="5"/>
    <x v="2"/>
    <x v="3"/>
    <x v="3"/>
    <n v="2"/>
    <n v="2200"/>
    <n v="4400"/>
    <n v="3608"/>
    <n v="792"/>
  </r>
  <r>
    <s v="ORD0719"/>
    <x v="353"/>
    <s v="Customer_0719"/>
    <x v="6"/>
    <x v="1"/>
    <x v="1"/>
    <x v="0"/>
    <n v="5"/>
    <n v="1500"/>
    <n v="7500"/>
    <n v="6150"/>
    <n v="1350"/>
  </r>
  <r>
    <s v="ORD0720"/>
    <x v="354"/>
    <s v="Customer_0720"/>
    <x v="2"/>
    <x v="0"/>
    <x v="3"/>
    <x v="3"/>
    <n v="2"/>
    <n v="12000"/>
    <n v="24000"/>
    <n v="19680"/>
    <n v="4320"/>
  </r>
  <r>
    <s v="ORD0721"/>
    <x v="355"/>
    <s v="Customer_0721"/>
    <x v="5"/>
    <x v="2"/>
    <x v="0"/>
    <x v="1"/>
    <n v="2"/>
    <n v="2200"/>
    <n v="4400"/>
    <n v="3608"/>
    <n v="792"/>
  </r>
  <r>
    <s v="ORD0722"/>
    <x v="356"/>
    <s v="Customer_0722"/>
    <x v="7"/>
    <x v="3"/>
    <x v="1"/>
    <x v="1"/>
    <n v="2"/>
    <n v="6500"/>
    <n v="13000"/>
    <n v="10660"/>
    <n v="2340"/>
  </r>
  <r>
    <s v="ORD0723"/>
    <x v="357"/>
    <s v="Customer_0723"/>
    <x v="4"/>
    <x v="0"/>
    <x v="0"/>
    <x v="3"/>
    <n v="7"/>
    <n v="15000"/>
    <n v="105000"/>
    <n v="86100"/>
    <n v="18900"/>
  </r>
  <r>
    <s v="ORD0724"/>
    <x v="358"/>
    <s v="Customer_0724"/>
    <x v="1"/>
    <x v="1"/>
    <x v="3"/>
    <x v="3"/>
    <n v="8"/>
    <n v="800"/>
    <n v="6400"/>
    <n v="5248"/>
    <n v="1152"/>
  </r>
  <r>
    <s v="ORD0725"/>
    <x v="359"/>
    <s v="Customer_0725"/>
    <x v="0"/>
    <x v="0"/>
    <x v="2"/>
    <x v="4"/>
    <n v="5"/>
    <n v="50000"/>
    <n v="250000"/>
    <n v="205000"/>
    <n v="45000"/>
  </r>
  <r>
    <s v="ORD0726"/>
    <x v="360"/>
    <s v="Customer_0726"/>
    <x v="5"/>
    <x v="2"/>
    <x v="1"/>
    <x v="4"/>
    <n v="6"/>
    <n v="2200"/>
    <n v="13200"/>
    <n v="10824"/>
    <n v="2376"/>
  </r>
  <r>
    <s v="ORD0727"/>
    <x v="361"/>
    <s v="Customer_0727"/>
    <x v="2"/>
    <x v="0"/>
    <x v="3"/>
    <x v="1"/>
    <n v="4"/>
    <n v="12000"/>
    <n v="48000"/>
    <n v="39360"/>
    <n v="8640"/>
  </r>
  <r>
    <s v="ORD0728"/>
    <x v="362"/>
    <s v="Customer_0728"/>
    <x v="2"/>
    <x v="0"/>
    <x v="2"/>
    <x v="2"/>
    <n v="2"/>
    <n v="12000"/>
    <n v="24000"/>
    <n v="19680"/>
    <n v="4320"/>
  </r>
  <r>
    <s v="ORD0729"/>
    <x v="363"/>
    <s v="Customer_0729"/>
    <x v="7"/>
    <x v="3"/>
    <x v="2"/>
    <x v="3"/>
    <n v="1"/>
    <n v="6500"/>
    <n v="6500"/>
    <n v="5330"/>
    <n v="1170"/>
  </r>
  <r>
    <s v="ORD0730"/>
    <x v="364"/>
    <s v="Customer_0730"/>
    <x v="2"/>
    <x v="0"/>
    <x v="1"/>
    <x v="3"/>
    <n v="4"/>
    <n v="12000"/>
    <n v="48000"/>
    <n v="39360"/>
    <n v="8640"/>
  </r>
  <r>
    <s v="ORD0731"/>
    <x v="0"/>
    <s v="Customer_0731"/>
    <x v="5"/>
    <x v="2"/>
    <x v="0"/>
    <x v="1"/>
    <n v="10"/>
    <n v="2200"/>
    <n v="22000"/>
    <n v="18040"/>
    <n v="3960"/>
  </r>
  <r>
    <s v="ORD0732"/>
    <x v="1"/>
    <s v="Customer_0732"/>
    <x v="0"/>
    <x v="0"/>
    <x v="3"/>
    <x v="1"/>
    <n v="2"/>
    <n v="50000"/>
    <n v="100000"/>
    <n v="82000"/>
    <n v="18000"/>
  </r>
  <r>
    <s v="ORD0733"/>
    <x v="2"/>
    <s v="Customer_0733"/>
    <x v="2"/>
    <x v="0"/>
    <x v="0"/>
    <x v="3"/>
    <n v="2"/>
    <n v="12000"/>
    <n v="24000"/>
    <n v="19680"/>
    <n v="4320"/>
  </r>
  <r>
    <s v="ORD0734"/>
    <x v="3"/>
    <s v="Customer_0734"/>
    <x v="0"/>
    <x v="0"/>
    <x v="1"/>
    <x v="3"/>
    <n v="8"/>
    <n v="50000"/>
    <n v="400000"/>
    <n v="328000"/>
    <n v="72000"/>
  </r>
  <r>
    <s v="ORD0735"/>
    <x v="4"/>
    <s v="Customer_0735"/>
    <x v="1"/>
    <x v="1"/>
    <x v="3"/>
    <x v="1"/>
    <n v="9"/>
    <n v="800"/>
    <n v="7200"/>
    <n v="5904"/>
    <n v="1296"/>
  </r>
  <r>
    <s v="ORD0736"/>
    <x v="5"/>
    <s v="Customer_0736"/>
    <x v="3"/>
    <x v="1"/>
    <x v="1"/>
    <x v="2"/>
    <n v="2"/>
    <n v="3000"/>
    <n v="6000"/>
    <n v="4920"/>
    <n v="1080"/>
  </r>
  <r>
    <s v="ORD0737"/>
    <x v="6"/>
    <s v="Customer_0737"/>
    <x v="1"/>
    <x v="1"/>
    <x v="1"/>
    <x v="1"/>
    <n v="2"/>
    <n v="800"/>
    <n v="1600"/>
    <n v="1312"/>
    <n v="288"/>
  </r>
  <r>
    <s v="ORD0738"/>
    <x v="7"/>
    <s v="Customer_0738"/>
    <x v="5"/>
    <x v="2"/>
    <x v="3"/>
    <x v="4"/>
    <n v="7"/>
    <n v="2200"/>
    <n v="15400"/>
    <n v="12628"/>
    <n v="2772"/>
  </r>
  <r>
    <s v="ORD0739"/>
    <x v="8"/>
    <s v="Customer_0739"/>
    <x v="5"/>
    <x v="2"/>
    <x v="2"/>
    <x v="4"/>
    <n v="3"/>
    <n v="2200"/>
    <n v="6600"/>
    <n v="5412"/>
    <n v="1188"/>
  </r>
  <r>
    <s v="ORD0740"/>
    <x v="9"/>
    <s v="Customer_0740"/>
    <x v="6"/>
    <x v="1"/>
    <x v="0"/>
    <x v="0"/>
    <n v="7"/>
    <n v="1500"/>
    <n v="10500"/>
    <n v="8610"/>
    <n v="1890"/>
  </r>
  <r>
    <s v="ORD0741"/>
    <x v="10"/>
    <s v="Customer_0741"/>
    <x v="2"/>
    <x v="0"/>
    <x v="3"/>
    <x v="2"/>
    <n v="2"/>
    <n v="12000"/>
    <n v="24000"/>
    <n v="19680"/>
    <n v="4320"/>
  </r>
  <r>
    <s v="ORD0742"/>
    <x v="11"/>
    <s v="Customer_0742"/>
    <x v="5"/>
    <x v="2"/>
    <x v="3"/>
    <x v="2"/>
    <n v="3"/>
    <n v="2200"/>
    <n v="6600"/>
    <n v="5412"/>
    <n v="1188"/>
  </r>
  <r>
    <s v="ORD0743"/>
    <x v="12"/>
    <s v="Customer_0743"/>
    <x v="7"/>
    <x v="3"/>
    <x v="0"/>
    <x v="3"/>
    <n v="9"/>
    <n v="6500"/>
    <n v="58500"/>
    <n v="47970"/>
    <n v="10530"/>
  </r>
  <r>
    <s v="ORD0744"/>
    <x v="13"/>
    <s v="Customer_0744"/>
    <x v="5"/>
    <x v="2"/>
    <x v="0"/>
    <x v="3"/>
    <n v="3"/>
    <n v="2200"/>
    <n v="6600"/>
    <n v="5412"/>
    <n v="1188"/>
  </r>
  <r>
    <s v="ORD0745"/>
    <x v="14"/>
    <s v="Customer_0745"/>
    <x v="0"/>
    <x v="0"/>
    <x v="2"/>
    <x v="1"/>
    <n v="5"/>
    <n v="50000"/>
    <n v="250000"/>
    <n v="205000"/>
    <n v="45000"/>
  </r>
  <r>
    <s v="ORD0746"/>
    <x v="15"/>
    <s v="Customer_0746"/>
    <x v="6"/>
    <x v="1"/>
    <x v="1"/>
    <x v="3"/>
    <n v="6"/>
    <n v="1500"/>
    <n v="9000"/>
    <n v="7380"/>
    <n v="1620"/>
  </r>
  <r>
    <s v="ORD0747"/>
    <x v="16"/>
    <s v="Customer_0747"/>
    <x v="2"/>
    <x v="0"/>
    <x v="2"/>
    <x v="1"/>
    <n v="8"/>
    <n v="12000"/>
    <n v="96000"/>
    <n v="78720"/>
    <n v="17280"/>
  </r>
  <r>
    <s v="ORD0748"/>
    <x v="17"/>
    <s v="Customer_0748"/>
    <x v="1"/>
    <x v="1"/>
    <x v="0"/>
    <x v="1"/>
    <n v="3"/>
    <n v="800"/>
    <n v="2400"/>
    <n v="1967"/>
    <n v="433"/>
  </r>
  <r>
    <s v="ORD0749"/>
    <x v="18"/>
    <s v="Customer_0749"/>
    <x v="7"/>
    <x v="3"/>
    <x v="2"/>
    <x v="1"/>
    <n v="2"/>
    <n v="6500"/>
    <n v="13000"/>
    <n v="10660"/>
    <n v="2340"/>
  </r>
  <r>
    <s v="ORD0750"/>
    <x v="19"/>
    <s v="Customer_0750"/>
    <x v="5"/>
    <x v="2"/>
    <x v="1"/>
    <x v="3"/>
    <n v="6"/>
    <n v="2200"/>
    <n v="13200"/>
    <n v="10824"/>
    <n v="2376"/>
  </r>
  <r>
    <s v="ORD0751"/>
    <x v="20"/>
    <s v="Customer_0751"/>
    <x v="6"/>
    <x v="1"/>
    <x v="1"/>
    <x v="1"/>
    <n v="8"/>
    <n v="1500"/>
    <n v="12000"/>
    <n v="9840"/>
    <n v="2160"/>
  </r>
  <r>
    <s v="ORD0752"/>
    <x v="21"/>
    <s v="Customer_0752"/>
    <x v="0"/>
    <x v="0"/>
    <x v="0"/>
    <x v="0"/>
    <n v="8"/>
    <n v="50000"/>
    <n v="400000"/>
    <n v="328000"/>
    <n v="72000"/>
  </r>
  <r>
    <s v="ORD0753"/>
    <x v="22"/>
    <s v="Customer_0753"/>
    <x v="5"/>
    <x v="2"/>
    <x v="0"/>
    <x v="0"/>
    <n v="9"/>
    <n v="2200"/>
    <n v="19800"/>
    <n v="16235"/>
    <n v="3565"/>
  </r>
  <r>
    <s v="ORD0754"/>
    <x v="23"/>
    <s v="Customer_0754"/>
    <x v="7"/>
    <x v="3"/>
    <x v="1"/>
    <x v="1"/>
    <n v="9"/>
    <n v="6500"/>
    <n v="58500"/>
    <n v="47970"/>
    <n v="10530"/>
  </r>
  <r>
    <s v="ORD0755"/>
    <x v="24"/>
    <s v="Customer_0755"/>
    <x v="7"/>
    <x v="3"/>
    <x v="3"/>
    <x v="1"/>
    <n v="5"/>
    <n v="6500"/>
    <n v="32500"/>
    <n v="26650"/>
    <n v="5850"/>
  </r>
  <r>
    <s v="ORD0756"/>
    <x v="25"/>
    <s v="Customer_0756"/>
    <x v="0"/>
    <x v="0"/>
    <x v="1"/>
    <x v="4"/>
    <n v="5"/>
    <n v="50000"/>
    <n v="250000"/>
    <n v="205000"/>
    <n v="45000"/>
  </r>
  <r>
    <s v="ORD0757"/>
    <x v="26"/>
    <s v="Customer_0757"/>
    <x v="2"/>
    <x v="0"/>
    <x v="0"/>
    <x v="1"/>
    <n v="3"/>
    <n v="12000"/>
    <n v="36000"/>
    <n v="29520"/>
    <n v="6480"/>
  </r>
  <r>
    <s v="ORD0758"/>
    <x v="27"/>
    <s v="Customer_0758"/>
    <x v="6"/>
    <x v="1"/>
    <x v="0"/>
    <x v="0"/>
    <n v="7"/>
    <n v="1500"/>
    <n v="10500"/>
    <n v="8610"/>
    <n v="1890"/>
  </r>
  <r>
    <s v="ORD0759"/>
    <x v="28"/>
    <s v="Customer_0759"/>
    <x v="0"/>
    <x v="0"/>
    <x v="1"/>
    <x v="1"/>
    <n v="6"/>
    <n v="50000"/>
    <n v="300000"/>
    <n v="245999"/>
    <n v="54001"/>
  </r>
  <r>
    <s v="ORD0760"/>
    <x v="29"/>
    <s v="Customer_0760"/>
    <x v="3"/>
    <x v="1"/>
    <x v="0"/>
    <x v="1"/>
    <n v="2"/>
    <n v="3000"/>
    <n v="6000"/>
    <n v="4920"/>
    <n v="1080"/>
  </r>
  <r>
    <s v="ORD0761"/>
    <x v="30"/>
    <s v="Customer_0761"/>
    <x v="1"/>
    <x v="1"/>
    <x v="2"/>
    <x v="0"/>
    <n v="5"/>
    <n v="800"/>
    <n v="4000"/>
    <n v="3280"/>
    <n v="720"/>
  </r>
  <r>
    <s v="ORD0762"/>
    <x v="31"/>
    <s v="Customer_0762"/>
    <x v="4"/>
    <x v="0"/>
    <x v="3"/>
    <x v="0"/>
    <n v="5"/>
    <n v="15000"/>
    <n v="75000"/>
    <n v="61499"/>
    <n v="13501"/>
  </r>
  <r>
    <s v="ORD0763"/>
    <x v="32"/>
    <s v="Customer_0763"/>
    <x v="7"/>
    <x v="3"/>
    <x v="2"/>
    <x v="2"/>
    <n v="8"/>
    <n v="6500"/>
    <n v="52000"/>
    <n v="42640"/>
    <n v="9360"/>
  </r>
  <r>
    <s v="ORD0764"/>
    <x v="33"/>
    <s v="Customer_0764"/>
    <x v="4"/>
    <x v="0"/>
    <x v="0"/>
    <x v="0"/>
    <n v="6"/>
    <n v="15000"/>
    <n v="90000"/>
    <n v="73800"/>
    <n v="16200"/>
  </r>
  <r>
    <s v="ORD0765"/>
    <x v="34"/>
    <s v="Customer_0765"/>
    <x v="6"/>
    <x v="1"/>
    <x v="1"/>
    <x v="0"/>
    <n v="9"/>
    <n v="1500"/>
    <n v="13500"/>
    <n v="11070"/>
    <n v="2430"/>
  </r>
  <r>
    <s v="ORD0766"/>
    <x v="35"/>
    <s v="Customer_0766"/>
    <x v="0"/>
    <x v="0"/>
    <x v="3"/>
    <x v="0"/>
    <n v="3"/>
    <n v="50000"/>
    <n v="150000"/>
    <n v="122999"/>
    <n v="27001"/>
  </r>
  <r>
    <s v="ORD0767"/>
    <x v="36"/>
    <s v="Customer_0767"/>
    <x v="2"/>
    <x v="0"/>
    <x v="3"/>
    <x v="3"/>
    <n v="6"/>
    <n v="12000"/>
    <n v="72000"/>
    <n v="59040"/>
    <n v="12960"/>
  </r>
  <r>
    <s v="ORD0768"/>
    <x v="37"/>
    <s v="Customer_0768"/>
    <x v="3"/>
    <x v="1"/>
    <x v="3"/>
    <x v="3"/>
    <n v="8"/>
    <n v="3000"/>
    <n v="24000"/>
    <n v="19680"/>
    <n v="4320"/>
  </r>
  <r>
    <s v="ORD0769"/>
    <x v="38"/>
    <s v="Customer_0769"/>
    <x v="3"/>
    <x v="1"/>
    <x v="0"/>
    <x v="4"/>
    <n v="4"/>
    <n v="3000"/>
    <n v="12000"/>
    <n v="9840"/>
    <n v="2160"/>
  </r>
  <r>
    <s v="ORD0770"/>
    <x v="39"/>
    <s v="Customer_0770"/>
    <x v="7"/>
    <x v="3"/>
    <x v="2"/>
    <x v="3"/>
    <n v="7"/>
    <n v="6500"/>
    <n v="45500"/>
    <n v="37310"/>
    <n v="8190"/>
  </r>
  <r>
    <s v="ORD0771"/>
    <x v="40"/>
    <s v="Customer_0771"/>
    <x v="4"/>
    <x v="0"/>
    <x v="3"/>
    <x v="3"/>
    <n v="7"/>
    <n v="15000"/>
    <n v="105000"/>
    <n v="86100"/>
    <n v="18900"/>
  </r>
  <r>
    <s v="ORD0772"/>
    <x v="41"/>
    <s v="Customer_0772"/>
    <x v="0"/>
    <x v="0"/>
    <x v="3"/>
    <x v="1"/>
    <n v="3"/>
    <n v="50000"/>
    <n v="150000"/>
    <n v="122999"/>
    <n v="27001"/>
  </r>
  <r>
    <s v="ORD0773"/>
    <x v="42"/>
    <s v="Customer_0773"/>
    <x v="7"/>
    <x v="3"/>
    <x v="0"/>
    <x v="0"/>
    <n v="10"/>
    <n v="6500"/>
    <n v="65000"/>
    <n v="53300"/>
    <n v="11700"/>
  </r>
  <r>
    <s v="ORD0774"/>
    <x v="43"/>
    <s v="Customer_0774"/>
    <x v="3"/>
    <x v="1"/>
    <x v="3"/>
    <x v="3"/>
    <n v="7"/>
    <n v="3000"/>
    <n v="21000"/>
    <n v="17220"/>
    <n v="3780"/>
  </r>
  <r>
    <s v="ORD0775"/>
    <x v="44"/>
    <s v="Customer_0775"/>
    <x v="2"/>
    <x v="0"/>
    <x v="2"/>
    <x v="2"/>
    <n v="2"/>
    <n v="12000"/>
    <n v="24000"/>
    <n v="19680"/>
    <n v="4320"/>
  </r>
  <r>
    <s v="ORD0776"/>
    <x v="45"/>
    <s v="Customer_0776"/>
    <x v="4"/>
    <x v="0"/>
    <x v="1"/>
    <x v="3"/>
    <n v="8"/>
    <n v="15000"/>
    <n v="120000"/>
    <n v="98400"/>
    <n v="21600"/>
  </r>
  <r>
    <s v="ORD0777"/>
    <x v="46"/>
    <s v="Customer_0777"/>
    <x v="7"/>
    <x v="3"/>
    <x v="3"/>
    <x v="3"/>
    <n v="8"/>
    <n v="6500"/>
    <n v="52000"/>
    <n v="42640"/>
    <n v="9360"/>
  </r>
  <r>
    <s v="ORD0778"/>
    <x v="47"/>
    <s v="Customer_0778"/>
    <x v="3"/>
    <x v="1"/>
    <x v="1"/>
    <x v="4"/>
    <n v="5"/>
    <n v="3000"/>
    <n v="15000"/>
    <n v="12300"/>
    <n v="2700"/>
  </r>
  <r>
    <s v="ORD0779"/>
    <x v="48"/>
    <s v="Customer_0779"/>
    <x v="1"/>
    <x v="1"/>
    <x v="0"/>
    <x v="4"/>
    <n v="4"/>
    <n v="800"/>
    <n v="3200"/>
    <n v="2624"/>
    <n v="576"/>
  </r>
  <r>
    <s v="ORD0780"/>
    <x v="49"/>
    <s v="Customer_0780"/>
    <x v="1"/>
    <x v="1"/>
    <x v="2"/>
    <x v="1"/>
    <n v="4"/>
    <n v="800"/>
    <n v="3200"/>
    <n v="2624"/>
    <n v="576"/>
  </r>
  <r>
    <s v="ORD0781"/>
    <x v="50"/>
    <s v="Customer_0781"/>
    <x v="4"/>
    <x v="0"/>
    <x v="0"/>
    <x v="2"/>
    <n v="7"/>
    <n v="15000"/>
    <n v="105000"/>
    <n v="86100"/>
    <n v="18900"/>
  </r>
  <r>
    <s v="ORD0782"/>
    <x v="51"/>
    <s v="Customer_0782"/>
    <x v="6"/>
    <x v="1"/>
    <x v="1"/>
    <x v="2"/>
    <n v="8"/>
    <n v="1500"/>
    <n v="12000"/>
    <n v="9840"/>
    <n v="2160"/>
  </r>
  <r>
    <s v="ORD0783"/>
    <x v="52"/>
    <s v="Customer_0783"/>
    <x v="6"/>
    <x v="1"/>
    <x v="0"/>
    <x v="2"/>
    <n v="3"/>
    <n v="1500"/>
    <n v="4500"/>
    <n v="3690"/>
    <n v="810"/>
  </r>
  <r>
    <s v="ORD0784"/>
    <x v="53"/>
    <s v="Customer_0784"/>
    <x v="5"/>
    <x v="2"/>
    <x v="3"/>
    <x v="2"/>
    <n v="9"/>
    <n v="2200"/>
    <n v="19800"/>
    <n v="16235"/>
    <n v="3565"/>
  </r>
  <r>
    <s v="ORD0785"/>
    <x v="54"/>
    <s v="Customer_0785"/>
    <x v="3"/>
    <x v="1"/>
    <x v="0"/>
    <x v="0"/>
    <n v="3"/>
    <n v="3000"/>
    <n v="9000"/>
    <n v="7380"/>
    <n v="1620"/>
  </r>
  <r>
    <s v="ORD0786"/>
    <x v="55"/>
    <s v="Customer_0786"/>
    <x v="4"/>
    <x v="0"/>
    <x v="1"/>
    <x v="3"/>
    <n v="8"/>
    <n v="15000"/>
    <n v="120000"/>
    <n v="98400"/>
    <n v="21600"/>
  </r>
  <r>
    <s v="ORD0787"/>
    <x v="56"/>
    <s v="Customer_0787"/>
    <x v="2"/>
    <x v="0"/>
    <x v="2"/>
    <x v="1"/>
    <n v="4"/>
    <n v="12000"/>
    <n v="48000"/>
    <n v="39360"/>
    <n v="8640"/>
  </r>
  <r>
    <s v="ORD0788"/>
    <x v="57"/>
    <s v="Customer_0788"/>
    <x v="3"/>
    <x v="1"/>
    <x v="3"/>
    <x v="0"/>
    <n v="2"/>
    <n v="3000"/>
    <n v="6000"/>
    <n v="4920"/>
    <n v="1080"/>
  </r>
  <r>
    <s v="ORD0789"/>
    <x v="58"/>
    <s v="Customer_0789"/>
    <x v="4"/>
    <x v="0"/>
    <x v="1"/>
    <x v="0"/>
    <n v="1"/>
    <n v="15000"/>
    <n v="15000"/>
    <n v="12300"/>
    <n v="2700"/>
  </r>
  <r>
    <s v="ORD0790"/>
    <x v="59"/>
    <s v="Customer_0790"/>
    <x v="0"/>
    <x v="0"/>
    <x v="2"/>
    <x v="1"/>
    <n v="8"/>
    <n v="50000"/>
    <n v="400000"/>
    <n v="328000"/>
    <n v="72000"/>
  </r>
  <r>
    <s v="ORD0791"/>
    <x v="60"/>
    <s v="Customer_0791"/>
    <x v="5"/>
    <x v="2"/>
    <x v="2"/>
    <x v="3"/>
    <n v="5"/>
    <n v="2200"/>
    <n v="11000"/>
    <n v="9020"/>
    <n v="1980"/>
  </r>
  <r>
    <s v="ORD0792"/>
    <x v="61"/>
    <s v="Customer_0792"/>
    <x v="2"/>
    <x v="0"/>
    <x v="2"/>
    <x v="4"/>
    <n v="9"/>
    <n v="12000"/>
    <n v="108000"/>
    <n v="88560"/>
    <n v="19440"/>
  </r>
  <r>
    <s v="ORD0793"/>
    <x v="62"/>
    <s v="Customer_0793"/>
    <x v="1"/>
    <x v="1"/>
    <x v="3"/>
    <x v="3"/>
    <n v="6"/>
    <n v="800"/>
    <n v="4800"/>
    <n v="3935"/>
    <n v="865"/>
  </r>
  <r>
    <s v="ORD0794"/>
    <x v="63"/>
    <s v="Customer_0794"/>
    <x v="1"/>
    <x v="1"/>
    <x v="2"/>
    <x v="1"/>
    <n v="3"/>
    <n v="800"/>
    <n v="2400"/>
    <n v="1967"/>
    <n v="433"/>
  </r>
  <r>
    <s v="ORD0795"/>
    <x v="64"/>
    <s v="Customer_0795"/>
    <x v="4"/>
    <x v="0"/>
    <x v="0"/>
    <x v="3"/>
    <n v="6"/>
    <n v="15000"/>
    <n v="90000"/>
    <n v="73800"/>
    <n v="16200"/>
  </r>
  <r>
    <s v="ORD0796"/>
    <x v="65"/>
    <s v="Customer_0796"/>
    <x v="6"/>
    <x v="1"/>
    <x v="0"/>
    <x v="4"/>
    <n v="6"/>
    <n v="1500"/>
    <n v="9000"/>
    <n v="7380"/>
    <n v="1620"/>
  </r>
  <r>
    <s v="ORD0797"/>
    <x v="66"/>
    <s v="Customer_0797"/>
    <x v="3"/>
    <x v="1"/>
    <x v="2"/>
    <x v="3"/>
    <n v="8"/>
    <n v="3000"/>
    <n v="24000"/>
    <n v="19680"/>
    <n v="4320"/>
  </r>
  <r>
    <s v="ORD0798"/>
    <x v="67"/>
    <s v="Customer_0798"/>
    <x v="2"/>
    <x v="0"/>
    <x v="2"/>
    <x v="1"/>
    <n v="4"/>
    <n v="12000"/>
    <n v="48000"/>
    <n v="39360"/>
    <n v="8640"/>
  </r>
  <r>
    <s v="ORD0799"/>
    <x v="68"/>
    <s v="Customer_0799"/>
    <x v="1"/>
    <x v="1"/>
    <x v="2"/>
    <x v="4"/>
    <n v="4"/>
    <n v="800"/>
    <n v="3200"/>
    <n v="2624"/>
    <n v="576"/>
  </r>
  <r>
    <s v="ORD0800"/>
    <x v="69"/>
    <s v="Customer_0800"/>
    <x v="0"/>
    <x v="0"/>
    <x v="0"/>
    <x v="3"/>
    <n v="6"/>
    <n v="50000"/>
    <n v="300000"/>
    <n v="245999"/>
    <n v="54001"/>
  </r>
  <r>
    <s v="ORD0801"/>
    <x v="70"/>
    <s v="Customer_0801"/>
    <x v="5"/>
    <x v="2"/>
    <x v="3"/>
    <x v="4"/>
    <n v="6"/>
    <n v="2200"/>
    <n v="13200"/>
    <n v="10824"/>
    <n v="2376"/>
  </r>
  <r>
    <s v="ORD0802"/>
    <x v="71"/>
    <s v="Customer_0802"/>
    <x v="6"/>
    <x v="1"/>
    <x v="2"/>
    <x v="0"/>
    <n v="2"/>
    <n v="1500"/>
    <n v="3000"/>
    <n v="2460"/>
    <n v="540"/>
  </r>
  <r>
    <s v="ORD0803"/>
    <x v="72"/>
    <s v="Customer_0803"/>
    <x v="0"/>
    <x v="0"/>
    <x v="1"/>
    <x v="2"/>
    <n v="10"/>
    <n v="50000"/>
    <n v="500000"/>
    <n v="410000"/>
    <n v="90000"/>
  </r>
  <r>
    <s v="ORD0804"/>
    <x v="73"/>
    <s v="Customer_0804"/>
    <x v="7"/>
    <x v="3"/>
    <x v="1"/>
    <x v="3"/>
    <n v="8"/>
    <n v="6500"/>
    <n v="52000"/>
    <n v="42640"/>
    <n v="9360"/>
  </r>
  <r>
    <s v="ORD0805"/>
    <x v="74"/>
    <s v="Customer_0805"/>
    <x v="0"/>
    <x v="0"/>
    <x v="1"/>
    <x v="0"/>
    <n v="4"/>
    <n v="50000"/>
    <n v="200000"/>
    <n v="164000"/>
    <n v="36000"/>
  </r>
  <r>
    <s v="ORD0806"/>
    <x v="75"/>
    <s v="Customer_0806"/>
    <x v="1"/>
    <x v="1"/>
    <x v="3"/>
    <x v="4"/>
    <n v="4"/>
    <n v="800"/>
    <n v="3200"/>
    <n v="2624"/>
    <n v="576"/>
  </r>
  <r>
    <s v="ORD0807"/>
    <x v="76"/>
    <s v="Customer_0807"/>
    <x v="6"/>
    <x v="1"/>
    <x v="3"/>
    <x v="2"/>
    <n v="9"/>
    <n v="1500"/>
    <n v="13500"/>
    <n v="11070"/>
    <n v="2430"/>
  </r>
  <r>
    <s v="ORD0808"/>
    <x v="77"/>
    <s v="Customer_0808"/>
    <x v="3"/>
    <x v="1"/>
    <x v="1"/>
    <x v="2"/>
    <n v="3"/>
    <n v="3000"/>
    <n v="9000"/>
    <n v="7380"/>
    <n v="1620"/>
  </r>
  <r>
    <s v="ORD0809"/>
    <x v="78"/>
    <s v="Customer_0809"/>
    <x v="2"/>
    <x v="0"/>
    <x v="1"/>
    <x v="0"/>
    <n v="8"/>
    <n v="12000"/>
    <n v="96000"/>
    <n v="78720"/>
    <n v="17280"/>
  </r>
  <r>
    <s v="ORD0810"/>
    <x v="79"/>
    <s v="Customer_0810"/>
    <x v="1"/>
    <x v="1"/>
    <x v="2"/>
    <x v="3"/>
    <n v="1"/>
    <n v="800"/>
    <n v="800"/>
    <n v="656"/>
    <n v="144"/>
  </r>
  <r>
    <s v="ORD0811"/>
    <x v="80"/>
    <s v="Customer_0811"/>
    <x v="0"/>
    <x v="0"/>
    <x v="0"/>
    <x v="3"/>
    <n v="1"/>
    <n v="50000"/>
    <n v="50000"/>
    <n v="41000"/>
    <n v="9000"/>
  </r>
  <r>
    <s v="ORD0812"/>
    <x v="81"/>
    <s v="Customer_0812"/>
    <x v="2"/>
    <x v="0"/>
    <x v="3"/>
    <x v="0"/>
    <n v="7"/>
    <n v="12000"/>
    <n v="84000"/>
    <n v="68880"/>
    <n v="15120"/>
  </r>
  <r>
    <s v="ORD0813"/>
    <x v="82"/>
    <s v="Customer_0813"/>
    <x v="7"/>
    <x v="3"/>
    <x v="3"/>
    <x v="2"/>
    <n v="1"/>
    <n v="6500"/>
    <n v="6500"/>
    <n v="5330"/>
    <n v="1170"/>
  </r>
  <r>
    <s v="ORD0814"/>
    <x v="83"/>
    <s v="Customer_0814"/>
    <x v="4"/>
    <x v="0"/>
    <x v="2"/>
    <x v="2"/>
    <n v="3"/>
    <n v="15000"/>
    <n v="45000"/>
    <n v="36900"/>
    <n v="8100"/>
  </r>
  <r>
    <s v="ORD0815"/>
    <x v="84"/>
    <s v="Customer_0815"/>
    <x v="2"/>
    <x v="0"/>
    <x v="0"/>
    <x v="2"/>
    <n v="3"/>
    <n v="12000"/>
    <n v="36000"/>
    <n v="29520"/>
    <n v="6480"/>
  </r>
  <r>
    <s v="ORD0816"/>
    <x v="85"/>
    <s v="Customer_0816"/>
    <x v="1"/>
    <x v="1"/>
    <x v="0"/>
    <x v="1"/>
    <n v="10"/>
    <n v="800"/>
    <n v="8000"/>
    <n v="6560"/>
    <n v="1440"/>
  </r>
  <r>
    <s v="ORD0817"/>
    <x v="86"/>
    <s v="Customer_0817"/>
    <x v="7"/>
    <x v="3"/>
    <x v="2"/>
    <x v="3"/>
    <n v="3"/>
    <n v="6500"/>
    <n v="19500"/>
    <n v="15989"/>
    <n v="3511"/>
  </r>
  <r>
    <s v="ORD0818"/>
    <x v="87"/>
    <s v="Customer_0818"/>
    <x v="7"/>
    <x v="3"/>
    <x v="1"/>
    <x v="4"/>
    <n v="1"/>
    <n v="6500"/>
    <n v="6500"/>
    <n v="5330"/>
    <n v="1170"/>
  </r>
  <r>
    <s v="ORD0819"/>
    <x v="88"/>
    <s v="Customer_0819"/>
    <x v="4"/>
    <x v="0"/>
    <x v="1"/>
    <x v="0"/>
    <n v="3"/>
    <n v="15000"/>
    <n v="45000"/>
    <n v="36900"/>
    <n v="8100"/>
  </r>
  <r>
    <s v="ORD0820"/>
    <x v="89"/>
    <s v="Customer_0820"/>
    <x v="2"/>
    <x v="0"/>
    <x v="0"/>
    <x v="2"/>
    <n v="2"/>
    <n v="12000"/>
    <n v="24000"/>
    <n v="19680"/>
    <n v="4320"/>
  </r>
  <r>
    <s v="ORD0821"/>
    <x v="90"/>
    <s v="Customer_0821"/>
    <x v="2"/>
    <x v="0"/>
    <x v="1"/>
    <x v="4"/>
    <n v="1"/>
    <n v="12000"/>
    <n v="12000"/>
    <n v="9840"/>
    <n v="2160"/>
  </r>
  <r>
    <s v="ORD0822"/>
    <x v="91"/>
    <s v="Customer_0822"/>
    <x v="4"/>
    <x v="0"/>
    <x v="3"/>
    <x v="4"/>
    <n v="5"/>
    <n v="15000"/>
    <n v="75000"/>
    <n v="61499"/>
    <n v="13501"/>
  </r>
  <r>
    <s v="ORD0823"/>
    <x v="92"/>
    <s v="Customer_0823"/>
    <x v="4"/>
    <x v="0"/>
    <x v="1"/>
    <x v="3"/>
    <n v="3"/>
    <n v="15000"/>
    <n v="45000"/>
    <n v="36900"/>
    <n v="8100"/>
  </r>
  <r>
    <s v="ORD0824"/>
    <x v="93"/>
    <s v="Customer_0824"/>
    <x v="5"/>
    <x v="2"/>
    <x v="0"/>
    <x v="1"/>
    <n v="1"/>
    <n v="2200"/>
    <n v="2200"/>
    <n v="1804"/>
    <n v="396"/>
  </r>
  <r>
    <s v="ORD0825"/>
    <x v="94"/>
    <s v="Customer_0825"/>
    <x v="7"/>
    <x v="3"/>
    <x v="0"/>
    <x v="2"/>
    <n v="8"/>
    <n v="6500"/>
    <n v="52000"/>
    <n v="42640"/>
    <n v="9360"/>
  </r>
  <r>
    <s v="ORD0826"/>
    <x v="95"/>
    <s v="Customer_0826"/>
    <x v="5"/>
    <x v="2"/>
    <x v="3"/>
    <x v="2"/>
    <n v="7"/>
    <n v="2200"/>
    <n v="15400"/>
    <n v="12628"/>
    <n v="2772"/>
  </r>
  <r>
    <s v="ORD0827"/>
    <x v="96"/>
    <s v="Customer_0827"/>
    <x v="6"/>
    <x v="1"/>
    <x v="0"/>
    <x v="3"/>
    <n v="7"/>
    <n v="1500"/>
    <n v="10500"/>
    <n v="8610"/>
    <n v="1890"/>
  </r>
  <r>
    <s v="ORD0828"/>
    <x v="97"/>
    <s v="Customer_0828"/>
    <x v="5"/>
    <x v="2"/>
    <x v="1"/>
    <x v="4"/>
    <n v="7"/>
    <n v="2200"/>
    <n v="15400"/>
    <n v="12628"/>
    <n v="2772"/>
  </r>
  <r>
    <s v="ORD0829"/>
    <x v="98"/>
    <s v="Customer_0829"/>
    <x v="7"/>
    <x v="3"/>
    <x v="0"/>
    <x v="2"/>
    <n v="3"/>
    <n v="6500"/>
    <n v="19500"/>
    <n v="15989"/>
    <n v="3511"/>
  </r>
  <r>
    <s v="ORD0830"/>
    <x v="99"/>
    <s v="Customer_0830"/>
    <x v="3"/>
    <x v="1"/>
    <x v="0"/>
    <x v="0"/>
    <n v="2"/>
    <n v="3000"/>
    <n v="6000"/>
    <n v="4920"/>
    <n v="1080"/>
  </r>
  <r>
    <s v="ORD0831"/>
    <x v="100"/>
    <s v="Customer_0831"/>
    <x v="4"/>
    <x v="0"/>
    <x v="1"/>
    <x v="0"/>
    <n v="8"/>
    <n v="15000"/>
    <n v="120000"/>
    <n v="98400"/>
    <n v="21600"/>
  </r>
  <r>
    <s v="ORD0832"/>
    <x v="101"/>
    <s v="Customer_0832"/>
    <x v="4"/>
    <x v="0"/>
    <x v="2"/>
    <x v="2"/>
    <n v="2"/>
    <n v="15000"/>
    <n v="30000"/>
    <n v="24600"/>
    <n v="5400"/>
  </r>
  <r>
    <s v="ORD0833"/>
    <x v="102"/>
    <s v="Customer_0833"/>
    <x v="3"/>
    <x v="1"/>
    <x v="3"/>
    <x v="4"/>
    <n v="9"/>
    <n v="3000"/>
    <n v="27000"/>
    <n v="22140"/>
    <n v="4860"/>
  </r>
  <r>
    <s v="ORD0834"/>
    <x v="103"/>
    <s v="Customer_0834"/>
    <x v="2"/>
    <x v="0"/>
    <x v="2"/>
    <x v="4"/>
    <n v="6"/>
    <n v="12000"/>
    <n v="72000"/>
    <n v="59040"/>
    <n v="12960"/>
  </r>
  <r>
    <s v="ORD0835"/>
    <x v="104"/>
    <s v="Customer_0835"/>
    <x v="1"/>
    <x v="1"/>
    <x v="1"/>
    <x v="0"/>
    <n v="2"/>
    <n v="800"/>
    <n v="1600"/>
    <n v="1312"/>
    <n v="288"/>
  </r>
  <r>
    <s v="ORD0836"/>
    <x v="105"/>
    <s v="Customer_0836"/>
    <x v="5"/>
    <x v="2"/>
    <x v="3"/>
    <x v="2"/>
    <n v="7"/>
    <n v="2200"/>
    <n v="15400"/>
    <n v="12628"/>
    <n v="2772"/>
  </r>
  <r>
    <s v="ORD0837"/>
    <x v="106"/>
    <s v="Customer_0837"/>
    <x v="2"/>
    <x v="0"/>
    <x v="3"/>
    <x v="2"/>
    <n v="10"/>
    <n v="12000"/>
    <n v="120000"/>
    <n v="98400"/>
    <n v="21600"/>
  </r>
  <r>
    <s v="ORD0838"/>
    <x v="107"/>
    <s v="Customer_0838"/>
    <x v="7"/>
    <x v="3"/>
    <x v="3"/>
    <x v="0"/>
    <n v="2"/>
    <n v="6500"/>
    <n v="13000"/>
    <n v="10660"/>
    <n v="2340"/>
  </r>
  <r>
    <s v="ORD0839"/>
    <x v="108"/>
    <s v="Customer_0839"/>
    <x v="4"/>
    <x v="0"/>
    <x v="0"/>
    <x v="0"/>
    <n v="10"/>
    <n v="15000"/>
    <n v="150000"/>
    <n v="122999"/>
    <n v="27001"/>
  </r>
  <r>
    <s v="ORD0840"/>
    <x v="109"/>
    <s v="Customer_0840"/>
    <x v="0"/>
    <x v="0"/>
    <x v="0"/>
    <x v="1"/>
    <n v="5"/>
    <n v="50000"/>
    <n v="250000"/>
    <n v="205000"/>
    <n v="45000"/>
  </r>
  <r>
    <s v="ORD0841"/>
    <x v="110"/>
    <s v="Customer_0841"/>
    <x v="2"/>
    <x v="0"/>
    <x v="2"/>
    <x v="1"/>
    <n v="9"/>
    <n v="12000"/>
    <n v="108000"/>
    <n v="88560"/>
    <n v="19440"/>
  </r>
  <r>
    <s v="ORD0842"/>
    <x v="111"/>
    <s v="Customer_0842"/>
    <x v="7"/>
    <x v="3"/>
    <x v="3"/>
    <x v="1"/>
    <n v="4"/>
    <n v="6500"/>
    <n v="26000"/>
    <n v="21320"/>
    <n v="4680"/>
  </r>
  <r>
    <s v="ORD0843"/>
    <x v="112"/>
    <s v="Customer_0843"/>
    <x v="3"/>
    <x v="1"/>
    <x v="3"/>
    <x v="2"/>
    <n v="2"/>
    <n v="3000"/>
    <n v="6000"/>
    <n v="4920"/>
    <n v="1080"/>
  </r>
  <r>
    <s v="ORD0844"/>
    <x v="113"/>
    <s v="Customer_0844"/>
    <x v="7"/>
    <x v="3"/>
    <x v="2"/>
    <x v="3"/>
    <n v="6"/>
    <n v="6500"/>
    <n v="39000"/>
    <n v="31979"/>
    <n v="7021"/>
  </r>
  <r>
    <s v="ORD0845"/>
    <x v="114"/>
    <s v="Customer_0845"/>
    <x v="6"/>
    <x v="1"/>
    <x v="2"/>
    <x v="3"/>
    <n v="8"/>
    <n v="1500"/>
    <n v="12000"/>
    <n v="9840"/>
    <n v="2160"/>
  </r>
  <r>
    <s v="ORD0846"/>
    <x v="115"/>
    <s v="Customer_0846"/>
    <x v="5"/>
    <x v="2"/>
    <x v="1"/>
    <x v="3"/>
    <n v="2"/>
    <n v="2200"/>
    <n v="4400"/>
    <n v="3608"/>
    <n v="792"/>
  </r>
  <r>
    <s v="ORD0847"/>
    <x v="116"/>
    <s v="Customer_0847"/>
    <x v="1"/>
    <x v="1"/>
    <x v="0"/>
    <x v="2"/>
    <n v="6"/>
    <n v="800"/>
    <n v="4800"/>
    <n v="3935"/>
    <n v="865"/>
  </r>
  <r>
    <s v="ORD0848"/>
    <x v="117"/>
    <s v="Customer_0848"/>
    <x v="4"/>
    <x v="0"/>
    <x v="2"/>
    <x v="2"/>
    <n v="9"/>
    <n v="15000"/>
    <n v="135000"/>
    <n v="110700"/>
    <n v="24300"/>
  </r>
  <r>
    <s v="ORD0849"/>
    <x v="118"/>
    <s v="Customer_0849"/>
    <x v="2"/>
    <x v="0"/>
    <x v="1"/>
    <x v="1"/>
    <n v="6"/>
    <n v="12000"/>
    <n v="72000"/>
    <n v="59040"/>
    <n v="12960"/>
  </r>
  <r>
    <s v="ORD0850"/>
    <x v="119"/>
    <s v="Customer_0850"/>
    <x v="7"/>
    <x v="3"/>
    <x v="1"/>
    <x v="4"/>
    <n v="5"/>
    <n v="6500"/>
    <n v="32500"/>
    <n v="26650"/>
    <n v="5850"/>
  </r>
  <r>
    <s v="ORD0851"/>
    <x v="120"/>
    <s v="Customer_0851"/>
    <x v="4"/>
    <x v="0"/>
    <x v="2"/>
    <x v="3"/>
    <n v="9"/>
    <n v="15000"/>
    <n v="135000"/>
    <n v="110700"/>
    <n v="24300"/>
  </r>
  <r>
    <s v="ORD0852"/>
    <x v="121"/>
    <s v="Customer_0852"/>
    <x v="5"/>
    <x v="2"/>
    <x v="3"/>
    <x v="4"/>
    <n v="10"/>
    <n v="2200"/>
    <n v="22000"/>
    <n v="18040"/>
    <n v="3960"/>
  </r>
  <r>
    <s v="ORD0853"/>
    <x v="122"/>
    <s v="Customer_0853"/>
    <x v="7"/>
    <x v="3"/>
    <x v="2"/>
    <x v="0"/>
    <n v="6"/>
    <n v="6500"/>
    <n v="39000"/>
    <n v="31979"/>
    <n v="7021"/>
  </r>
  <r>
    <s v="ORD0854"/>
    <x v="123"/>
    <s v="Customer_0854"/>
    <x v="3"/>
    <x v="1"/>
    <x v="2"/>
    <x v="1"/>
    <n v="4"/>
    <n v="3000"/>
    <n v="12000"/>
    <n v="9840"/>
    <n v="2160"/>
  </r>
  <r>
    <s v="ORD0855"/>
    <x v="124"/>
    <s v="Customer_0855"/>
    <x v="0"/>
    <x v="0"/>
    <x v="1"/>
    <x v="2"/>
    <n v="6"/>
    <n v="50000"/>
    <n v="300000"/>
    <n v="245999"/>
    <n v="54001"/>
  </r>
  <r>
    <s v="ORD0856"/>
    <x v="125"/>
    <s v="Customer_0856"/>
    <x v="2"/>
    <x v="0"/>
    <x v="3"/>
    <x v="2"/>
    <n v="2"/>
    <n v="12000"/>
    <n v="24000"/>
    <n v="19680"/>
    <n v="4320"/>
  </r>
  <r>
    <s v="ORD0857"/>
    <x v="126"/>
    <s v="Customer_0857"/>
    <x v="7"/>
    <x v="3"/>
    <x v="3"/>
    <x v="2"/>
    <n v="1"/>
    <n v="6500"/>
    <n v="6500"/>
    <n v="5330"/>
    <n v="1170"/>
  </r>
  <r>
    <s v="ORD0858"/>
    <x v="127"/>
    <s v="Customer_0858"/>
    <x v="3"/>
    <x v="1"/>
    <x v="0"/>
    <x v="0"/>
    <n v="8"/>
    <n v="3000"/>
    <n v="24000"/>
    <n v="19680"/>
    <n v="4320"/>
  </r>
  <r>
    <s v="ORD0859"/>
    <x v="128"/>
    <s v="Customer_0859"/>
    <x v="0"/>
    <x v="0"/>
    <x v="2"/>
    <x v="1"/>
    <n v="2"/>
    <n v="50000"/>
    <n v="100000"/>
    <n v="82000"/>
    <n v="18000"/>
  </r>
  <r>
    <s v="ORD0860"/>
    <x v="129"/>
    <s v="Customer_0860"/>
    <x v="2"/>
    <x v="0"/>
    <x v="3"/>
    <x v="3"/>
    <n v="10"/>
    <n v="12000"/>
    <n v="120000"/>
    <n v="98400"/>
    <n v="21600"/>
  </r>
  <r>
    <s v="ORD0861"/>
    <x v="130"/>
    <s v="Customer_0861"/>
    <x v="2"/>
    <x v="0"/>
    <x v="2"/>
    <x v="2"/>
    <n v="4"/>
    <n v="12000"/>
    <n v="48000"/>
    <n v="39360"/>
    <n v="8640"/>
  </r>
  <r>
    <s v="ORD0862"/>
    <x v="131"/>
    <s v="Customer_0862"/>
    <x v="0"/>
    <x v="0"/>
    <x v="0"/>
    <x v="0"/>
    <n v="6"/>
    <n v="50000"/>
    <n v="300000"/>
    <n v="245999"/>
    <n v="54001"/>
  </r>
  <r>
    <s v="ORD0863"/>
    <x v="132"/>
    <s v="Customer_0863"/>
    <x v="6"/>
    <x v="1"/>
    <x v="0"/>
    <x v="2"/>
    <n v="2"/>
    <n v="1500"/>
    <n v="3000"/>
    <n v="2460"/>
    <n v="540"/>
  </r>
  <r>
    <s v="ORD0864"/>
    <x v="133"/>
    <s v="Customer_0864"/>
    <x v="7"/>
    <x v="3"/>
    <x v="0"/>
    <x v="2"/>
    <n v="9"/>
    <n v="6500"/>
    <n v="58500"/>
    <n v="47970"/>
    <n v="10530"/>
  </r>
  <r>
    <s v="ORD0865"/>
    <x v="134"/>
    <s v="Customer_0865"/>
    <x v="6"/>
    <x v="1"/>
    <x v="0"/>
    <x v="2"/>
    <n v="7"/>
    <n v="1500"/>
    <n v="10500"/>
    <n v="8610"/>
    <n v="1890"/>
  </r>
  <r>
    <s v="ORD0866"/>
    <x v="135"/>
    <s v="Customer_0866"/>
    <x v="7"/>
    <x v="3"/>
    <x v="1"/>
    <x v="1"/>
    <n v="5"/>
    <n v="6500"/>
    <n v="32500"/>
    <n v="26650"/>
    <n v="5850"/>
  </r>
  <r>
    <s v="ORD0867"/>
    <x v="136"/>
    <s v="Customer_0867"/>
    <x v="5"/>
    <x v="2"/>
    <x v="3"/>
    <x v="0"/>
    <n v="3"/>
    <n v="2200"/>
    <n v="6600"/>
    <n v="5412"/>
    <n v="1188"/>
  </r>
  <r>
    <s v="ORD0868"/>
    <x v="137"/>
    <s v="Customer_0868"/>
    <x v="4"/>
    <x v="0"/>
    <x v="1"/>
    <x v="0"/>
    <n v="10"/>
    <n v="15000"/>
    <n v="150000"/>
    <n v="122999"/>
    <n v="27001"/>
  </r>
  <r>
    <s v="ORD0869"/>
    <x v="138"/>
    <s v="Customer_0869"/>
    <x v="4"/>
    <x v="0"/>
    <x v="2"/>
    <x v="3"/>
    <n v="2"/>
    <n v="15000"/>
    <n v="30000"/>
    <n v="24600"/>
    <n v="5400"/>
  </r>
  <r>
    <s v="ORD0870"/>
    <x v="139"/>
    <s v="Customer_0870"/>
    <x v="2"/>
    <x v="0"/>
    <x v="2"/>
    <x v="0"/>
    <n v="4"/>
    <n v="12000"/>
    <n v="48000"/>
    <n v="39360"/>
    <n v="8640"/>
  </r>
  <r>
    <s v="ORD0871"/>
    <x v="140"/>
    <s v="Customer_0871"/>
    <x v="7"/>
    <x v="3"/>
    <x v="2"/>
    <x v="4"/>
    <n v="4"/>
    <n v="6500"/>
    <n v="26000"/>
    <n v="21320"/>
    <n v="4680"/>
  </r>
  <r>
    <s v="ORD0872"/>
    <x v="141"/>
    <s v="Customer_0872"/>
    <x v="2"/>
    <x v="0"/>
    <x v="2"/>
    <x v="2"/>
    <n v="9"/>
    <n v="12000"/>
    <n v="108000"/>
    <n v="88560"/>
    <n v="19440"/>
  </r>
  <r>
    <s v="ORD0873"/>
    <x v="142"/>
    <s v="Customer_0873"/>
    <x v="4"/>
    <x v="0"/>
    <x v="0"/>
    <x v="0"/>
    <n v="10"/>
    <n v="15000"/>
    <n v="150000"/>
    <n v="122999"/>
    <n v="27001"/>
  </r>
  <r>
    <s v="ORD0874"/>
    <x v="143"/>
    <s v="Customer_0874"/>
    <x v="0"/>
    <x v="0"/>
    <x v="0"/>
    <x v="4"/>
    <n v="8"/>
    <n v="50000"/>
    <n v="400000"/>
    <n v="328000"/>
    <n v="72000"/>
  </r>
  <r>
    <s v="ORD0875"/>
    <x v="144"/>
    <s v="Customer_0875"/>
    <x v="6"/>
    <x v="1"/>
    <x v="3"/>
    <x v="0"/>
    <n v="7"/>
    <n v="1500"/>
    <n v="10500"/>
    <n v="8610"/>
    <n v="1890"/>
  </r>
  <r>
    <s v="ORD0876"/>
    <x v="145"/>
    <s v="Customer_0876"/>
    <x v="4"/>
    <x v="0"/>
    <x v="1"/>
    <x v="3"/>
    <n v="3"/>
    <n v="15000"/>
    <n v="45000"/>
    <n v="36900"/>
    <n v="8100"/>
  </r>
  <r>
    <s v="ORD0877"/>
    <x v="146"/>
    <s v="Customer_0877"/>
    <x v="1"/>
    <x v="1"/>
    <x v="1"/>
    <x v="0"/>
    <n v="10"/>
    <n v="800"/>
    <n v="8000"/>
    <n v="6560"/>
    <n v="1440"/>
  </r>
  <r>
    <s v="ORD0878"/>
    <x v="147"/>
    <s v="Customer_0878"/>
    <x v="4"/>
    <x v="0"/>
    <x v="1"/>
    <x v="2"/>
    <n v="5"/>
    <n v="15000"/>
    <n v="75000"/>
    <n v="61499"/>
    <n v="13501"/>
  </r>
  <r>
    <s v="ORD0879"/>
    <x v="148"/>
    <s v="Customer_0879"/>
    <x v="2"/>
    <x v="0"/>
    <x v="2"/>
    <x v="4"/>
    <n v="9"/>
    <n v="12000"/>
    <n v="108000"/>
    <n v="88560"/>
    <n v="19440"/>
  </r>
  <r>
    <s v="ORD0880"/>
    <x v="149"/>
    <s v="Customer_0880"/>
    <x v="0"/>
    <x v="0"/>
    <x v="3"/>
    <x v="2"/>
    <n v="1"/>
    <n v="50000"/>
    <n v="50000"/>
    <n v="41000"/>
    <n v="9000"/>
  </r>
  <r>
    <s v="ORD0881"/>
    <x v="150"/>
    <s v="Customer_0881"/>
    <x v="1"/>
    <x v="1"/>
    <x v="2"/>
    <x v="3"/>
    <n v="9"/>
    <n v="800"/>
    <n v="7200"/>
    <n v="5904"/>
    <n v="1296"/>
  </r>
  <r>
    <s v="ORD0882"/>
    <x v="151"/>
    <s v="Customer_0882"/>
    <x v="5"/>
    <x v="2"/>
    <x v="2"/>
    <x v="3"/>
    <n v="6"/>
    <n v="2200"/>
    <n v="13200"/>
    <n v="10824"/>
    <n v="2376"/>
  </r>
  <r>
    <s v="ORD0883"/>
    <x v="152"/>
    <s v="Customer_0883"/>
    <x v="2"/>
    <x v="0"/>
    <x v="2"/>
    <x v="2"/>
    <n v="8"/>
    <n v="12000"/>
    <n v="96000"/>
    <n v="78720"/>
    <n v="17280"/>
  </r>
  <r>
    <s v="ORD0884"/>
    <x v="153"/>
    <s v="Customer_0884"/>
    <x v="2"/>
    <x v="0"/>
    <x v="3"/>
    <x v="2"/>
    <n v="2"/>
    <n v="12000"/>
    <n v="24000"/>
    <n v="19680"/>
    <n v="4320"/>
  </r>
  <r>
    <s v="ORD0885"/>
    <x v="154"/>
    <s v="Customer_0885"/>
    <x v="3"/>
    <x v="1"/>
    <x v="3"/>
    <x v="3"/>
    <n v="7"/>
    <n v="3000"/>
    <n v="21000"/>
    <n v="17220"/>
    <n v="3780"/>
  </r>
  <r>
    <s v="ORD0886"/>
    <x v="155"/>
    <s v="Customer_0886"/>
    <x v="1"/>
    <x v="1"/>
    <x v="2"/>
    <x v="2"/>
    <n v="9"/>
    <n v="800"/>
    <n v="7200"/>
    <n v="5904"/>
    <n v="1296"/>
  </r>
  <r>
    <s v="ORD0887"/>
    <x v="156"/>
    <s v="Customer_0887"/>
    <x v="0"/>
    <x v="0"/>
    <x v="0"/>
    <x v="4"/>
    <n v="9"/>
    <n v="50000"/>
    <n v="450000"/>
    <n v="369000"/>
    <n v="81000"/>
  </r>
  <r>
    <s v="ORD0888"/>
    <x v="157"/>
    <s v="Customer_0888"/>
    <x v="1"/>
    <x v="1"/>
    <x v="3"/>
    <x v="0"/>
    <n v="3"/>
    <n v="800"/>
    <n v="2400"/>
    <n v="1967"/>
    <n v="433"/>
  </r>
  <r>
    <s v="ORD0889"/>
    <x v="158"/>
    <s v="Customer_0889"/>
    <x v="6"/>
    <x v="1"/>
    <x v="1"/>
    <x v="0"/>
    <n v="3"/>
    <n v="1500"/>
    <n v="4500"/>
    <n v="3690"/>
    <n v="810"/>
  </r>
  <r>
    <s v="ORD0890"/>
    <x v="159"/>
    <s v="Customer_0890"/>
    <x v="2"/>
    <x v="0"/>
    <x v="2"/>
    <x v="2"/>
    <n v="2"/>
    <n v="12000"/>
    <n v="24000"/>
    <n v="19680"/>
    <n v="4320"/>
  </r>
  <r>
    <s v="ORD0891"/>
    <x v="160"/>
    <s v="Customer_0891"/>
    <x v="3"/>
    <x v="1"/>
    <x v="0"/>
    <x v="3"/>
    <n v="2"/>
    <n v="3000"/>
    <n v="6000"/>
    <n v="4920"/>
    <n v="1080"/>
  </r>
  <r>
    <s v="ORD0892"/>
    <x v="161"/>
    <s v="Customer_0892"/>
    <x v="3"/>
    <x v="1"/>
    <x v="1"/>
    <x v="3"/>
    <n v="7"/>
    <n v="3000"/>
    <n v="21000"/>
    <n v="17220"/>
    <n v="3780"/>
  </r>
  <r>
    <s v="ORD0893"/>
    <x v="162"/>
    <s v="Customer_0893"/>
    <x v="0"/>
    <x v="0"/>
    <x v="1"/>
    <x v="4"/>
    <n v="1"/>
    <n v="50000"/>
    <n v="50000"/>
    <n v="41000"/>
    <n v="9000"/>
  </r>
  <r>
    <s v="ORD0894"/>
    <x v="163"/>
    <s v="Customer_0894"/>
    <x v="4"/>
    <x v="0"/>
    <x v="0"/>
    <x v="2"/>
    <n v="9"/>
    <n v="15000"/>
    <n v="135000"/>
    <n v="110700"/>
    <n v="24300"/>
  </r>
  <r>
    <s v="ORD0895"/>
    <x v="164"/>
    <s v="Customer_0895"/>
    <x v="6"/>
    <x v="1"/>
    <x v="3"/>
    <x v="2"/>
    <n v="4"/>
    <n v="1500"/>
    <n v="6000"/>
    <n v="4920"/>
    <n v="1080"/>
  </r>
  <r>
    <s v="ORD0896"/>
    <x v="165"/>
    <s v="Customer_0896"/>
    <x v="3"/>
    <x v="1"/>
    <x v="3"/>
    <x v="1"/>
    <n v="5"/>
    <n v="3000"/>
    <n v="15000"/>
    <n v="12300"/>
    <n v="2700"/>
  </r>
  <r>
    <s v="ORD0897"/>
    <x v="166"/>
    <s v="Customer_0897"/>
    <x v="6"/>
    <x v="1"/>
    <x v="2"/>
    <x v="4"/>
    <n v="3"/>
    <n v="1500"/>
    <n v="4500"/>
    <n v="3690"/>
    <n v="810"/>
  </r>
  <r>
    <s v="ORD0898"/>
    <x v="167"/>
    <s v="Customer_0898"/>
    <x v="3"/>
    <x v="1"/>
    <x v="1"/>
    <x v="4"/>
    <n v="3"/>
    <n v="3000"/>
    <n v="9000"/>
    <n v="7380"/>
    <n v="1620"/>
  </r>
  <r>
    <s v="ORD0899"/>
    <x v="168"/>
    <s v="Customer_0899"/>
    <x v="7"/>
    <x v="3"/>
    <x v="3"/>
    <x v="2"/>
    <n v="5"/>
    <n v="6500"/>
    <n v="32500"/>
    <n v="26650"/>
    <n v="5850"/>
  </r>
  <r>
    <s v="ORD0900"/>
    <x v="169"/>
    <s v="Customer_0900"/>
    <x v="5"/>
    <x v="2"/>
    <x v="3"/>
    <x v="4"/>
    <n v="8"/>
    <n v="2200"/>
    <n v="17600"/>
    <n v="14432"/>
    <n v="3168"/>
  </r>
  <r>
    <s v="ORD0901"/>
    <x v="170"/>
    <s v="Customer_0901"/>
    <x v="4"/>
    <x v="0"/>
    <x v="2"/>
    <x v="0"/>
    <n v="6"/>
    <n v="15000"/>
    <n v="90000"/>
    <n v="73800"/>
    <n v="16200"/>
  </r>
  <r>
    <s v="ORD0902"/>
    <x v="171"/>
    <s v="Customer_0902"/>
    <x v="5"/>
    <x v="2"/>
    <x v="3"/>
    <x v="4"/>
    <n v="3"/>
    <n v="2200"/>
    <n v="6600"/>
    <n v="5412"/>
    <n v="1188"/>
  </r>
  <r>
    <s v="ORD0903"/>
    <x v="172"/>
    <s v="Customer_0903"/>
    <x v="3"/>
    <x v="1"/>
    <x v="1"/>
    <x v="1"/>
    <n v="2"/>
    <n v="3000"/>
    <n v="6000"/>
    <n v="4920"/>
    <n v="1080"/>
  </r>
  <r>
    <s v="ORD0904"/>
    <x v="173"/>
    <s v="Customer_0904"/>
    <x v="4"/>
    <x v="0"/>
    <x v="1"/>
    <x v="0"/>
    <n v="7"/>
    <n v="15000"/>
    <n v="105000"/>
    <n v="86100"/>
    <n v="18900"/>
  </r>
  <r>
    <s v="ORD0905"/>
    <x v="174"/>
    <s v="Customer_0905"/>
    <x v="1"/>
    <x v="1"/>
    <x v="0"/>
    <x v="1"/>
    <n v="6"/>
    <n v="800"/>
    <n v="4800"/>
    <n v="3935"/>
    <n v="865"/>
  </r>
  <r>
    <s v="ORD0906"/>
    <x v="175"/>
    <s v="Customer_0906"/>
    <x v="0"/>
    <x v="0"/>
    <x v="0"/>
    <x v="0"/>
    <n v="6"/>
    <n v="50000"/>
    <n v="300000"/>
    <n v="245999"/>
    <n v="54001"/>
  </r>
  <r>
    <s v="ORD0907"/>
    <x v="176"/>
    <s v="Customer_0907"/>
    <x v="5"/>
    <x v="2"/>
    <x v="0"/>
    <x v="3"/>
    <n v="10"/>
    <n v="2200"/>
    <n v="22000"/>
    <n v="18040"/>
    <n v="3960"/>
  </r>
  <r>
    <s v="ORD0908"/>
    <x v="177"/>
    <s v="Customer_0908"/>
    <x v="1"/>
    <x v="1"/>
    <x v="2"/>
    <x v="3"/>
    <n v="8"/>
    <n v="800"/>
    <n v="6400"/>
    <n v="5248"/>
    <n v="1152"/>
  </r>
  <r>
    <s v="ORD0909"/>
    <x v="178"/>
    <s v="Customer_0909"/>
    <x v="0"/>
    <x v="0"/>
    <x v="3"/>
    <x v="1"/>
    <n v="6"/>
    <n v="50000"/>
    <n v="300000"/>
    <n v="245999"/>
    <n v="54001"/>
  </r>
  <r>
    <s v="ORD0910"/>
    <x v="179"/>
    <s v="Customer_0910"/>
    <x v="0"/>
    <x v="0"/>
    <x v="0"/>
    <x v="1"/>
    <n v="5"/>
    <n v="50000"/>
    <n v="250000"/>
    <n v="205000"/>
    <n v="45000"/>
  </r>
  <r>
    <s v="ORD0911"/>
    <x v="180"/>
    <s v="Customer_0911"/>
    <x v="4"/>
    <x v="0"/>
    <x v="1"/>
    <x v="1"/>
    <n v="6"/>
    <n v="15000"/>
    <n v="90000"/>
    <n v="73800"/>
    <n v="16200"/>
  </r>
  <r>
    <s v="ORD0912"/>
    <x v="181"/>
    <s v="Customer_0912"/>
    <x v="3"/>
    <x v="1"/>
    <x v="1"/>
    <x v="3"/>
    <n v="2"/>
    <n v="3000"/>
    <n v="6000"/>
    <n v="4920"/>
    <n v="1080"/>
  </r>
  <r>
    <s v="ORD0913"/>
    <x v="182"/>
    <s v="Customer_0913"/>
    <x v="4"/>
    <x v="0"/>
    <x v="0"/>
    <x v="2"/>
    <n v="8"/>
    <n v="15000"/>
    <n v="120000"/>
    <n v="98400"/>
    <n v="21600"/>
  </r>
  <r>
    <s v="ORD0914"/>
    <x v="183"/>
    <s v="Customer_0914"/>
    <x v="1"/>
    <x v="1"/>
    <x v="1"/>
    <x v="4"/>
    <n v="6"/>
    <n v="800"/>
    <n v="4800"/>
    <n v="3935"/>
    <n v="865"/>
  </r>
  <r>
    <s v="ORD0915"/>
    <x v="184"/>
    <s v="Customer_0915"/>
    <x v="5"/>
    <x v="2"/>
    <x v="1"/>
    <x v="3"/>
    <n v="6"/>
    <n v="2200"/>
    <n v="13200"/>
    <n v="10824"/>
    <n v="2376"/>
  </r>
  <r>
    <s v="ORD0916"/>
    <x v="185"/>
    <s v="Customer_0916"/>
    <x v="7"/>
    <x v="3"/>
    <x v="0"/>
    <x v="4"/>
    <n v="2"/>
    <n v="6500"/>
    <n v="13000"/>
    <n v="10660"/>
    <n v="2340"/>
  </r>
  <r>
    <s v="ORD0917"/>
    <x v="186"/>
    <s v="Customer_0917"/>
    <x v="5"/>
    <x v="2"/>
    <x v="3"/>
    <x v="4"/>
    <n v="6"/>
    <n v="2200"/>
    <n v="13200"/>
    <n v="10824"/>
    <n v="2376"/>
  </r>
  <r>
    <s v="ORD0918"/>
    <x v="187"/>
    <s v="Customer_0918"/>
    <x v="0"/>
    <x v="0"/>
    <x v="0"/>
    <x v="4"/>
    <n v="6"/>
    <n v="50000"/>
    <n v="300000"/>
    <n v="245999"/>
    <n v="54001"/>
  </r>
  <r>
    <s v="ORD0919"/>
    <x v="188"/>
    <s v="Customer_0919"/>
    <x v="2"/>
    <x v="0"/>
    <x v="2"/>
    <x v="2"/>
    <n v="7"/>
    <n v="12000"/>
    <n v="84000"/>
    <n v="68880"/>
    <n v="15120"/>
  </r>
  <r>
    <s v="ORD0920"/>
    <x v="189"/>
    <s v="Customer_0920"/>
    <x v="5"/>
    <x v="2"/>
    <x v="1"/>
    <x v="3"/>
    <n v="4"/>
    <n v="2200"/>
    <n v="8800"/>
    <n v="7216"/>
    <n v="1584"/>
  </r>
  <r>
    <s v="ORD0921"/>
    <x v="190"/>
    <s v="Customer_0921"/>
    <x v="3"/>
    <x v="1"/>
    <x v="2"/>
    <x v="1"/>
    <n v="3"/>
    <n v="3000"/>
    <n v="9000"/>
    <n v="7380"/>
    <n v="1620"/>
  </r>
  <r>
    <s v="ORD0922"/>
    <x v="191"/>
    <s v="Customer_0922"/>
    <x v="1"/>
    <x v="1"/>
    <x v="1"/>
    <x v="4"/>
    <n v="10"/>
    <n v="800"/>
    <n v="8000"/>
    <n v="6560"/>
    <n v="1440"/>
  </r>
  <r>
    <s v="ORD0923"/>
    <x v="192"/>
    <s v="Customer_0923"/>
    <x v="1"/>
    <x v="1"/>
    <x v="1"/>
    <x v="2"/>
    <n v="10"/>
    <n v="800"/>
    <n v="8000"/>
    <n v="6560"/>
    <n v="1440"/>
  </r>
  <r>
    <s v="ORD0924"/>
    <x v="193"/>
    <s v="Customer_0924"/>
    <x v="5"/>
    <x v="2"/>
    <x v="0"/>
    <x v="0"/>
    <n v="6"/>
    <n v="2200"/>
    <n v="13200"/>
    <n v="10824"/>
    <n v="2376"/>
  </r>
  <r>
    <s v="ORD0925"/>
    <x v="194"/>
    <s v="Customer_0925"/>
    <x v="4"/>
    <x v="0"/>
    <x v="3"/>
    <x v="1"/>
    <n v="3"/>
    <n v="15000"/>
    <n v="45000"/>
    <n v="36900"/>
    <n v="8100"/>
  </r>
  <r>
    <s v="ORD0926"/>
    <x v="195"/>
    <s v="Customer_0926"/>
    <x v="6"/>
    <x v="1"/>
    <x v="0"/>
    <x v="3"/>
    <n v="6"/>
    <n v="1500"/>
    <n v="9000"/>
    <n v="7380"/>
    <n v="1620"/>
  </r>
  <r>
    <s v="ORD0927"/>
    <x v="196"/>
    <s v="Customer_0927"/>
    <x v="3"/>
    <x v="1"/>
    <x v="3"/>
    <x v="0"/>
    <n v="2"/>
    <n v="3000"/>
    <n v="6000"/>
    <n v="4920"/>
    <n v="1080"/>
  </r>
  <r>
    <s v="ORD0928"/>
    <x v="197"/>
    <s v="Customer_0928"/>
    <x v="5"/>
    <x v="2"/>
    <x v="1"/>
    <x v="3"/>
    <n v="9"/>
    <n v="2200"/>
    <n v="19800"/>
    <n v="16235"/>
    <n v="3565"/>
  </r>
  <r>
    <s v="ORD0929"/>
    <x v="198"/>
    <s v="Customer_0929"/>
    <x v="2"/>
    <x v="0"/>
    <x v="3"/>
    <x v="4"/>
    <n v="2"/>
    <n v="12000"/>
    <n v="24000"/>
    <n v="19680"/>
    <n v="4320"/>
  </r>
  <r>
    <s v="ORD0930"/>
    <x v="199"/>
    <s v="Customer_0930"/>
    <x v="4"/>
    <x v="0"/>
    <x v="3"/>
    <x v="0"/>
    <n v="6"/>
    <n v="15000"/>
    <n v="90000"/>
    <n v="73800"/>
    <n v="16200"/>
  </r>
  <r>
    <s v="ORD0931"/>
    <x v="200"/>
    <s v="Customer_0931"/>
    <x v="6"/>
    <x v="1"/>
    <x v="1"/>
    <x v="2"/>
    <n v="3"/>
    <n v="1500"/>
    <n v="4500"/>
    <n v="3690"/>
    <n v="810"/>
  </r>
  <r>
    <s v="ORD0932"/>
    <x v="201"/>
    <s v="Customer_0932"/>
    <x v="4"/>
    <x v="0"/>
    <x v="1"/>
    <x v="0"/>
    <n v="9"/>
    <n v="15000"/>
    <n v="135000"/>
    <n v="110700"/>
    <n v="24300"/>
  </r>
  <r>
    <s v="ORD0933"/>
    <x v="202"/>
    <s v="Customer_0933"/>
    <x v="5"/>
    <x v="2"/>
    <x v="1"/>
    <x v="2"/>
    <n v="7"/>
    <n v="2200"/>
    <n v="15400"/>
    <n v="12628"/>
    <n v="2772"/>
  </r>
  <r>
    <s v="ORD0934"/>
    <x v="203"/>
    <s v="Customer_0934"/>
    <x v="4"/>
    <x v="0"/>
    <x v="3"/>
    <x v="1"/>
    <n v="9"/>
    <n v="15000"/>
    <n v="135000"/>
    <n v="110700"/>
    <n v="24300"/>
  </r>
  <r>
    <s v="ORD0935"/>
    <x v="204"/>
    <s v="Customer_0935"/>
    <x v="4"/>
    <x v="0"/>
    <x v="0"/>
    <x v="2"/>
    <n v="9"/>
    <n v="15000"/>
    <n v="135000"/>
    <n v="110700"/>
    <n v="24300"/>
  </r>
  <r>
    <s v="ORD0936"/>
    <x v="205"/>
    <s v="Customer_0936"/>
    <x v="3"/>
    <x v="1"/>
    <x v="2"/>
    <x v="3"/>
    <n v="3"/>
    <n v="3000"/>
    <n v="9000"/>
    <n v="7380"/>
    <n v="1620"/>
  </r>
  <r>
    <s v="ORD0937"/>
    <x v="206"/>
    <s v="Customer_0937"/>
    <x v="6"/>
    <x v="1"/>
    <x v="1"/>
    <x v="3"/>
    <n v="10"/>
    <n v="1500"/>
    <n v="15000"/>
    <n v="12300"/>
    <n v="2700"/>
  </r>
  <r>
    <s v="ORD0938"/>
    <x v="207"/>
    <s v="Customer_0938"/>
    <x v="4"/>
    <x v="0"/>
    <x v="1"/>
    <x v="1"/>
    <n v="3"/>
    <n v="15000"/>
    <n v="45000"/>
    <n v="36900"/>
    <n v="8100"/>
  </r>
  <r>
    <s v="ORD0939"/>
    <x v="208"/>
    <s v="Customer_0939"/>
    <x v="4"/>
    <x v="0"/>
    <x v="2"/>
    <x v="1"/>
    <n v="7"/>
    <n v="15000"/>
    <n v="105000"/>
    <n v="86100"/>
    <n v="18900"/>
  </r>
  <r>
    <s v="ORD0940"/>
    <x v="209"/>
    <s v="Customer_0940"/>
    <x v="6"/>
    <x v="1"/>
    <x v="1"/>
    <x v="0"/>
    <n v="5"/>
    <n v="1500"/>
    <n v="7500"/>
    <n v="6150"/>
    <n v="1350"/>
  </r>
  <r>
    <s v="ORD0941"/>
    <x v="210"/>
    <s v="Customer_0941"/>
    <x v="6"/>
    <x v="1"/>
    <x v="3"/>
    <x v="3"/>
    <n v="9"/>
    <n v="1500"/>
    <n v="13500"/>
    <n v="11070"/>
    <n v="2430"/>
  </r>
  <r>
    <s v="ORD0942"/>
    <x v="211"/>
    <s v="Customer_0942"/>
    <x v="6"/>
    <x v="1"/>
    <x v="1"/>
    <x v="2"/>
    <n v="4"/>
    <n v="1500"/>
    <n v="6000"/>
    <n v="4920"/>
    <n v="1080"/>
  </r>
  <r>
    <s v="ORD0943"/>
    <x v="212"/>
    <s v="Customer_0943"/>
    <x v="4"/>
    <x v="0"/>
    <x v="3"/>
    <x v="1"/>
    <n v="9"/>
    <n v="15000"/>
    <n v="135000"/>
    <n v="110700"/>
    <n v="24300"/>
  </r>
  <r>
    <s v="ORD0944"/>
    <x v="213"/>
    <s v="Customer_0944"/>
    <x v="1"/>
    <x v="1"/>
    <x v="3"/>
    <x v="1"/>
    <n v="2"/>
    <n v="800"/>
    <n v="1600"/>
    <n v="1312"/>
    <n v="288"/>
  </r>
  <r>
    <s v="ORD0945"/>
    <x v="214"/>
    <s v="Customer_0945"/>
    <x v="2"/>
    <x v="0"/>
    <x v="1"/>
    <x v="2"/>
    <n v="6"/>
    <n v="12000"/>
    <n v="72000"/>
    <n v="59040"/>
    <n v="12960"/>
  </r>
  <r>
    <s v="ORD0946"/>
    <x v="215"/>
    <s v="Customer_0946"/>
    <x v="6"/>
    <x v="1"/>
    <x v="0"/>
    <x v="1"/>
    <n v="8"/>
    <n v="1500"/>
    <n v="12000"/>
    <n v="9840"/>
    <n v="2160"/>
  </r>
  <r>
    <s v="ORD0947"/>
    <x v="216"/>
    <s v="Customer_0947"/>
    <x v="1"/>
    <x v="1"/>
    <x v="1"/>
    <x v="1"/>
    <n v="8"/>
    <n v="800"/>
    <n v="6400"/>
    <n v="5248"/>
    <n v="1152"/>
  </r>
  <r>
    <s v="ORD0948"/>
    <x v="217"/>
    <s v="Customer_0948"/>
    <x v="0"/>
    <x v="0"/>
    <x v="3"/>
    <x v="2"/>
    <n v="1"/>
    <n v="50000"/>
    <n v="50000"/>
    <n v="41000"/>
    <n v="9000"/>
  </r>
  <r>
    <s v="ORD0949"/>
    <x v="218"/>
    <s v="Customer_0949"/>
    <x v="2"/>
    <x v="0"/>
    <x v="3"/>
    <x v="4"/>
    <n v="2"/>
    <n v="12000"/>
    <n v="24000"/>
    <n v="19680"/>
    <n v="4320"/>
  </r>
  <r>
    <s v="ORD0950"/>
    <x v="219"/>
    <s v="Customer_0950"/>
    <x v="3"/>
    <x v="1"/>
    <x v="3"/>
    <x v="2"/>
    <n v="7"/>
    <n v="3000"/>
    <n v="21000"/>
    <n v="17220"/>
    <n v="3780"/>
  </r>
  <r>
    <s v="ORD0951"/>
    <x v="220"/>
    <s v="Customer_0951"/>
    <x v="6"/>
    <x v="1"/>
    <x v="2"/>
    <x v="3"/>
    <n v="8"/>
    <n v="1500"/>
    <n v="12000"/>
    <n v="9840"/>
    <n v="2160"/>
  </r>
  <r>
    <s v="ORD0952"/>
    <x v="221"/>
    <s v="Customer_0952"/>
    <x v="3"/>
    <x v="1"/>
    <x v="2"/>
    <x v="0"/>
    <n v="4"/>
    <n v="3000"/>
    <n v="12000"/>
    <n v="9840"/>
    <n v="2160"/>
  </r>
  <r>
    <s v="ORD0953"/>
    <x v="222"/>
    <s v="Customer_0953"/>
    <x v="0"/>
    <x v="0"/>
    <x v="3"/>
    <x v="0"/>
    <n v="1"/>
    <n v="50000"/>
    <n v="50000"/>
    <n v="41000"/>
    <n v="9000"/>
  </r>
  <r>
    <s v="ORD0954"/>
    <x v="223"/>
    <s v="Customer_0954"/>
    <x v="2"/>
    <x v="0"/>
    <x v="0"/>
    <x v="2"/>
    <n v="1"/>
    <n v="12000"/>
    <n v="12000"/>
    <n v="9840"/>
    <n v="2160"/>
  </r>
  <r>
    <s v="ORD0955"/>
    <x v="224"/>
    <s v="Customer_0955"/>
    <x v="2"/>
    <x v="0"/>
    <x v="3"/>
    <x v="3"/>
    <n v="6"/>
    <n v="12000"/>
    <n v="72000"/>
    <n v="59040"/>
    <n v="12960"/>
  </r>
  <r>
    <s v="ORD0956"/>
    <x v="225"/>
    <s v="Customer_0956"/>
    <x v="2"/>
    <x v="0"/>
    <x v="3"/>
    <x v="1"/>
    <n v="1"/>
    <n v="12000"/>
    <n v="12000"/>
    <n v="9840"/>
    <n v="2160"/>
  </r>
  <r>
    <s v="ORD0957"/>
    <x v="226"/>
    <s v="Customer_0957"/>
    <x v="6"/>
    <x v="1"/>
    <x v="2"/>
    <x v="3"/>
    <n v="4"/>
    <n v="1500"/>
    <n v="6000"/>
    <n v="4920"/>
    <n v="1080"/>
  </r>
  <r>
    <s v="ORD0958"/>
    <x v="227"/>
    <s v="Customer_0958"/>
    <x v="1"/>
    <x v="1"/>
    <x v="3"/>
    <x v="3"/>
    <n v="3"/>
    <n v="800"/>
    <n v="2400"/>
    <n v="1967"/>
    <n v="433"/>
  </r>
  <r>
    <s v="ORD0959"/>
    <x v="228"/>
    <s v="Customer_0959"/>
    <x v="7"/>
    <x v="3"/>
    <x v="2"/>
    <x v="4"/>
    <n v="8"/>
    <n v="6500"/>
    <n v="52000"/>
    <n v="42640"/>
    <n v="9360"/>
  </r>
  <r>
    <s v="ORD0960"/>
    <x v="229"/>
    <s v="Customer_0960"/>
    <x v="6"/>
    <x v="1"/>
    <x v="2"/>
    <x v="3"/>
    <n v="6"/>
    <n v="1500"/>
    <n v="9000"/>
    <n v="7380"/>
    <n v="1620"/>
  </r>
  <r>
    <s v="ORD0961"/>
    <x v="230"/>
    <s v="Customer_0961"/>
    <x v="2"/>
    <x v="0"/>
    <x v="1"/>
    <x v="4"/>
    <n v="3"/>
    <n v="12000"/>
    <n v="36000"/>
    <n v="29520"/>
    <n v="6480"/>
  </r>
  <r>
    <s v="ORD0962"/>
    <x v="231"/>
    <s v="Customer_0962"/>
    <x v="5"/>
    <x v="2"/>
    <x v="1"/>
    <x v="3"/>
    <n v="1"/>
    <n v="2200"/>
    <n v="2200"/>
    <n v="1804"/>
    <n v="396"/>
  </r>
  <r>
    <s v="ORD0963"/>
    <x v="232"/>
    <s v="Customer_0963"/>
    <x v="5"/>
    <x v="2"/>
    <x v="3"/>
    <x v="1"/>
    <n v="4"/>
    <n v="2200"/>
    <n v="8800"/>
    <n v="7216"/>
    <n v="1584"/>
  </r>
  <r>
    <s v="ORD0964"/>
    <x v="233"/>
    <s v="Customer_0964"/>
    <x v="7"/>
    <x v="3"/>
    <x v="1"/>
    <x v="4"/>
    <n v="8"/>
    <n v="6500"/>
    <n v="52000"/>
    <n v="42640"/>
    <n v="9360"/>
  </r>
  <r>
    <s v="ORD0965"/>
    <x v="234"/>
    <s v="Customer_0965"/>
    <x v="7"/>
    <x v="3"/>
    <x v="1"/>
    <x v="0"/>
    <n v="10"/>
    <n v="6500"/>
    <n v="65000"/>
    <n v="53300"/>
    <n v="11700"/>
  </r>
  <r>
    <s v="ORD0966"/>
    <x v="235"/>
    <s v="Customer_0966"/>
    <x v="1"/>
    <x v="1"/>
    <x v="2"/>
    <x v="4"/>
    <n v="6"/>
    <n v="800"/>
    <n v="4800"/>
    <n v="3935"/>
    <n v="865"/>
  </r>
  <r>
    <s v="ORD0967"/>
    <x v="236"/>
    <s v="Customer_0967"/>
    <x v="1"/>
    <x v="1"/>
    <x v="3"/>
    <x v="4"/>
    <n v="2"/>
    <n v="800"/>
    <n v="1600"/>
    <n v="1312"/>
    <n v="288"/>
  </r>
  <r>
    <s v="ORD0968"/>
    <x v="237"/>
    <s v="Customer_0968"/>
    <x v="2"/>
    <x v="0"/>
    <x v="0"/>
    <x v="1"/>
    <n v="9"/>
    <n v="12000"/>
    <n v="108000"/>
    <n v="88560"/>
    <n v="19440"/>
  </r>
  <r>
    <s v="ORD0969"/>
    <x v="238"/>
    <s v="Customer_0969"/>
    <x v="5"/>
    <x v="2"/>
    <x v="2"/>
    <x v="4"/>
    <n v="10"/>
    <n v="2200"/>
    <n v="22000"/>
    <n v="18040"/>
    <n v="3960"/>
  </r>
  <r>
    <s v="ORD0970"/>
    <x v="239"/>
    <s v="Customer_0970"/>
    <x v="2"/>
    <x v="0"/>
    <x v="2"/>
    <x v="4"/>
    <n v="9"/>
    <n v="12000"/>
    <n v="108000"/>
    <n v="88560"/>
    <n v="19440"/>
  </r>
  <r>
    <s v="ORD0971"/>
    <x v="240"/>
    <s v="Customer_0971"/>
    <x v="6"/>
    <x v="1"/>
    <x v="1"/>
    <x v="3"/>
    <n v="4"/>
    <n v="1500"/>
    <n v="6000"/>
    <n v="4920"/>
    <n v="1080"/>
  </r>
  <r>
    <s v="ORD0972"/>
    <x v="241"/>
    <s v="Customer_0972"/>
    <x v="5"/>
    <x v="2"/>
    <x v="3"/>
    <x v="0"/>
    <n v="2"/>
    <n v="2200"/>
    <n v="4400"/>
    <n v="3608"/>
    <n v="792"/>
  </r>
  <r>
    <s v="ORD0973"/>
    <x v="242"/>
    <s v="Customer_0973"/>
    <x v="0"/>
    <x v="0"/>
    <x v="1"/>
    <x v="0"/>
    <n v="5"/>
    <n v="50000"/>
    <n v="250000"/>
    <n v="205000"/>
    <n v="45000"/>
  </r>
  <r>
    <s v="ORD0974"/>
    <x v="243"/>
    <s v="Customer_0974"/>
    <x v="2"/>
    <x v="0"/>
    <x v="0"/>
    <x v="1"/>
    <n v="1"/>
    <n v="12000"/>
    <n v="12000"/>
    <n v="9840"/>
    <n v="2160"/>
  </r>
  <r>
    <s v="ORD0975"/>
    <x v="244"/>
    <s v="Customer_0975"/>
    <x v="1"/>
    <x v="1"/>
    <x v="1"/>
    <x v="2"/>
    <n v="2"/>
    <n v="800"/>
    <n v="1600"/>
    <n v="1312"/>
    <n v="288"/>
  </r>
  <r>
    <s v="ORD0976"/>
    <x v="245"/>
    <s v="Customer_0976"/>
    <x v="4"/>
    <x v="0"/>
    <x v="2"/>
    <x v="1"/>
    <n v="4"/>
    <n v="15000"/>
    <n v="60000"/>
    <n v="49200"/>
    <n v="10800"/>
  </r>
  <r>
    <s v="ORD0977"/>
    <x v="246"/>
    <s v="Customer_0977"/>
    <x v="3"/>
    <x v="1"/>
    <x v="3"/>
    <x v="1"/>
    <n v="9"/>
    <n v="3000"/>
    <n v="27000"/>
    <n v="22140"/>
    <n v="4860"/>
  </r>
  <r>
    <s v="ORD0978"/>
    <x v="247"/>
    <s v="Customer_0978"/>
    <x v="4"/>
    <x v="0"/>
    <x v="0"/>
    <x v="3"/>
    <n v="5"/>
    <n v="15000"/>
    <n v="75000"/>
    <n v="61499"/>
    <n v="13501"/>
  </r>
  <r>
    <s v="ORD0979"/>
    <x v="248"/>
    <s v="Customer_0979"/>
    <x v="5"/>
    <x v="2"/>
    <x v="3"/>
    <x v="1"/>
    <n v="10"/>
    <n v="2200"/>
    <n v="22000"/>
    <n v="18040"/>
    <n v="3960"/>
  </r>
  <r>
    <s v="ORD0980"/>
    <x v="249"/>
    <s v="Customer_0980"/>
    <x v="7"/>
    <x v="3"/>
    <x v="1"/>
    <x v="4"/>
    <n v="10"/>
    <n v="6500"/>
    <n v="65000"/>
    <n v="53300"/>
    <n v="11700"/>
  </r>
  <r>
    <s v="ORD0981"/>
    <x v="250"/>
    <s v="Customer_0981"/>
    <x v="6"/>
    <x v="1"/>
    <x v="1"/>
    <x v="0"/>
    <n v="1"/>
    <n v="1500"/>
    <n v="1500"/>
    <n v="1230"/>
    <n v="270"/>
  </r>
  <r>
    <s v="ORD0982"/>
    <x v="251"/>
    <s v="Customer_0982"/>
    <x v="7"/>
    <x v="3"/>
    <x v="1"/>
    <x v="3"/>
    <n v="7"/>
    <n v="6500"/>
    <n v="45500"/>
    <n v="37310"/>
    <n v="8190"/>
  </r>
  <r>
    <s v="ORD0983"/>
    <x v="252"/>
    <s v="Customer_0983"/>
    <x v="6"/>
    <x v="1"/>
    <x v="3"/>
    <x v="1"/>
    <n v="5"/>
    <n v="1500"/>
    <n v="7500"/>
    <n v="6150"/>
    <n v="1350"/>
  </r>
  <r>
    <s v="ORD0984"/>
    <x v="253"/>
    <s v="Customer_0984"/>
    <x v="6"/>
    <x v="1"/>
    <x v="3"/>
    <x v="0"/>
    <n v="4"/>
    <n v="1500"/>
    <n v="6000"/>
    <n v="4920"/>
    <n v="1080"/>
  </r>
  <r>
    <s v="ORD0985"/>
    <x v="254"/>
    <s v="Customer_0985"/>
    <x v="4"/>
    <x v="0"/>
    <x v="3"/>
    <x v="2"/>
    <n v="9"/>
    <n v="15000"/>
    <n v="135000"/>
    <n v="110700"/>
    <n v="24300"/>
  </r>
  <r>
    <s v="ORD0986"/>
    <x v="255"/>
    <s v="Customer_0986"/>
    <x v="1"/>
    <x v="1"/>
    <x v="3"/>
    <x v="2"/>
    <n v="1"/>
    <n v="800"/>
    <n v="800"/>
    <n v="656"/>
    <n v="144"/>
  </r>
  <r>
    <s v="ORD0987"/>
    <x v="256"/>
    <s v="Customer_0987"/>
    <x v="2"/>
    <x v="0"/>
    <x v="3"/>
    <x v="3"/>
    <n v="2"/>
    <n v="12000"/>
    <n v="24000"/>
    <n v="19680"/>
    <n v="4320"/>
  </r>
  <r>
    <s v="ORD0988"/>
    <x v="257"/>
    <s v="Customer_0988"/>
    <x v="0"/>
    <x v="0"/>
    <x v="2"/>
    <x v="0"/>
    <n v="8"/>
    <n v="50000"/>
    <n v="400000"/>
    <n v="328000"/>
    <n v="72000"/>
  </r>
  <r>
    <s v="ORD0989"/>
    <x v="258"/>
    <s v="Customer_0989"/>
    <x v="3"/>
    <x v="1"/>
    <x v="0"/>
    <x v="3"/>
    <n v="7"/>
    <n v="3000"/>
    <n v="21000"/>
    <n v="17220"/>
    <n v="3780"/>
  </r>
  <r>
    <s v="ORD0990"/>
    <x v="259"/>
    <s v="Customer_0990"/>
    <x v="0"/>
    <x v="0"/>
    <x v="1"/>
    <x v="1"/>
    <n v="10"/>
    <n v="50000"/>
    <n v="500000"/>
    <n v="410000"/>
    <n v="90000"/>
  </r>
  <r>
    <s v="ORD0991"/>
    <x v="260"/>
    <s v="Customer_0991"/>
    <x v="4"/>
    <x v="0"/>
    <x v="2"/>
    <x v="0"/>
    <n v="10"/>
    <n v="15000"/>
    <n v="150000"/>
    <n v="122999"/>
    <n v="27001"/>
  </r>
  <r>
    <s v="ORD0992"/>
    <x v="261"/>
    <s v="Customer_0992"/>
    <x v="4"/>
    <x v="0"/>
    <x v="2"/>
    <x v="4"/>
    <n v="1"/>
    <n v="15000"/>
    <n v="15000"/>
    <n v="12300"/>
    <n v="2700"/>
  </r>
  <r>
    <s v="ORD0993"/>
    <x v="262"/>
    <s v="Customer_0993"/>
    <x v="0"/>
    <x v="0"/>
    <x v="1"/>
    <x v="1"/>
    <n v="10"/>
    <n v="50000"/>
    <n v="500000"/>
    <n v="410000"/>
    <n v="90000"/>
  </r>
  <r>
    <s v="ORD0994"/>
    <x v="263"/>
    <s v="Customer_0994"/>
    <x v="4"/>
    <x v="0"/>
    <x v="0"/>
    <x v="1"/>
    <n v="2"/>
    <n v="15000"/>
    <n v="30000"/>
    <n v="24600"/>
    <n v="5400"/>
  </r>
  <r>
    <s v="ORD0995"/>
    <x v="264"/>
    <s v="Customer_0995"/>
    <x v="7"/>
    <x v="3"/>
    <x v="1"/>
    <x v="3"/>
    <n v="7"/>
    <n v="6500"/>
    <n v="45500"/>
    <n v="37310"/>
    <n v="8190"/>
  </r>
  <r>
    <s v="ORD0996"/>
    <x v="265"/>
    <s v="Customer_0996"/>
    <x v="3"/>
    <x v="1"/>
    <x v="1"/>
    <x v="2"/>
    <n v="8"/>
    <n v="3000"/>
    <n v="24000"/>
    <n v="19680"/>
    <n v="4320"/>
  </r>
  <r>
    <s v="ORD0997"/>
    <x v="266"/>
    <s v="Customer_0997"/>
    <x v="5"/>
    <x v="2"/>
    <x v="1"/>
    <x v="2"/>
    <n v="7"/>
    <n v="2200"/>
    <n v="15400"/>
    <n v="12628"/>
    <n v="2772"/>
  </r>
  <r>
    <s v="ORD0998"/>
    <x v="267"/>
    <s v="Customer_0998"/>
    <x v="0"/>
    <x v="0"/>
    <x v="2"/>
    <x v="1"/>
    <n v="1"/>
    <n v="50000"/>
    <n v="50000"/>
    <n v="41000"/>
    <n v="9000"/>
  </r>
  <r>
    <s v="ORD0999"/>
    <x v="268"/>
    <s v="Customer_0999"/>
    <x v="6"/>
    <x v="1"/>
    <x v="1"/>
    <x v="1"/>
    <n v="7"/>
    <n v="1500"/>
    <n v="10500"/>
    <n v="8610"/>
    <n v="1890"/>
  </r>
  <r>
    <s v="ORD1000"/>
    <x v="269"/>
    <s v="Customer_1000"/>
    <x v="0"/>
    <x v="0"/>
    <x v="1"/>
    <x v="1"/>
    <n v="4"/>
    <n v="50000"/>
    <n v="200000"/>
    <n v="164000"/>
    <n v="3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8AE2B-CEDB-430C-9C0B-F48FD43EEC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12">
    <pivotField showAll="0"/>
    <pivotField showAll="0"/>
    <pivotField showAll="0"/>
    <pivotField axis="axisRow" showAll="0" sortType="descending">
      <items count="9">
        <item x="6"/>
        <item x="0"/>
        <item x="2"/>
        <item x="1"/>
        <item x="4"/>
        <item x="5"/>
        <item x="7"/>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3"/>
  </rowFields>
  <rowItems count="9">
    <i>
      <x v="1"/>
    </i>
    <i>
      <x v="4"/>
    </i>
    <i>
      <x v="2"/>
    </i>
    <i>
      <x v="6"/>
    </i>
    <i>
      <x v="7"/>
    </i>
    <i>
      <x v="5"/>
    </i>
    <i>
      <x/>
    </i>
    <i>
      <x v="3"/>
    </i>
    <i t="grand">
      <x/>
    </i>
  </rowItems>
  <colItems count="1">
    <i/>
  </colItems>
  <dataFields count="1">
    <dataField name="Sum of Sales"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04585B-244C-493E-83DE-646B20E2BC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2">
    <pivotField showAll="0"/>
    <pivotField showAll="0"/>
    <pivotField showAll="0"/>
    <pivotField showAll="0">
      <items count="9">
        <item x="6"/>
        <item x="0"/>
        <item x="2"/>
        <item x="1"/>
        <item x="4"/>
        <item x="5"/>
        <item x="7"/>
        <item x="3"/>
        <item t="default"/>
      </items>
    </pivotField>
    <pivotField axis="axisRow"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4"/>
  </rowFields>
  <rowItems count="5">
    <i>
      <x v="2"/>
    </i>
    <i>
      <x/>
    </i>
    <i>
      <x v="3"/>
    </i>
    <i>
      <x v="1"/>
    </i>
    <i t="grand">
      <x/>
    </i>
  </rowItems>
  <colItems count="1">
    <i/>
  </colItems>
  <dataFields count="1">
    <dataField name="Sum of Profit" fld="11"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CE98DA-1C92-45CF-B981-C11E9D43E5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2">
    <pivotField showAll="0"/>
    <pivotField showAll="0"/>
    <pivotField showAll="0"/>
    <pivotField showAll="0">
      <items count="9">
        <item x="6"/>
        <item x="0"/>
        <item x="2"/>
        <item x="1"/>
        <item x="4"/>
        <item x="5"/>
        <item x="7"/>
        <item x="3"/>
        <item t="default"/>
      </items>
    </pivotField>
    <pivotField showAll="0"/>
    <pivotField showAll="0"/>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6"/>
  </rowFields>
  <rowItems count="6">
    <i>
      <x v="3"/>
    </i>
    <i>
      <x v="4"/>
    </i>
    <i>
      <x v="2"/>
    </i>
    <i>
      <x v="1"/>
    </i>
    <i>
      <x/>
    </i>
    <i t="grand">
      <x/>
    </i>
  </rowItems>
  <colItems count="1">
    <i/>
  </colItems>
  <dataFields count="1">
    <dataField name="Sum of Sales"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D5E67D-F294-451A-9760-C31341BCD8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2">
    <pivotField showAll="0"/>
    <pivotField showAll="0"/>
    <pivotField showAll="0"/>
    <pivotField showAll="0">
      <items count="9">
        <item x="6"/>
        <item x="0"/>
        <item x="2"/>
        <item x="1"/>
        <item x="4"/>
        <item x="5"/>
        <item x="7"/>
        <item x="3"/>
        <item t="default"/>
      </items>
    </pivotField>
    <pivotField showAll="0"/>
    <pivotField axis="axisRow" showAll="0">
      <items count="5">
        <item x="2"/>
        <item h="1" x="1"/>
        <item h="1" x="3"/>
        <item h="1" x="0"/>
        <item t="default"/>
      </items>
    </pivotField>
    <pivotField showAll="0"/>
    <pivotField showAll="0"/>
    <pivotField showAll="0"/>
    <pivotField dataField="1" showAll="0"/>
    <pivotField showAll="0"/>
    <pivotField showAll="0"/>
  </pivotFields>
  <rowFields count="1">
    <field x="5"/>
  </rowFields>
  <rowItems count="2">
    <i>
      <x/>
    </i>
    <i t="grand">
      <x/>
    </i>
  </rowItems>
  <colItems count="1">
    <i/>
  </colItems>
  <dataFields count="1">
    <dataField name="Sum of Sales" fld="9"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FD0C9C-DB21-44E4-A314-13559ABF76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2">
    <pivotField showAll="0"/>
    <pivotField showAll="0"/>
    <pivotField showAll="0"/>
    <pivotField showAll="0">
      <items count="9">
        <item x="6"/>
        <item x="0"/>
        <item x="2"/>
        <item x="1"/>
        <item x="4"/>
        <item x="5"/>
        <item x="7"/>
        <item x="3"/>
        <item t="default"/>
      </items>
    </pivotField>
    <pivotField axis="axisRow" showAll="0">
      <items count="5">
        <item x="1"/>
        <item x="0"/>
        <item x="2"/>
        <item x="3"/>
        <item t="default"/>
      </items>
    </pivotField>
    <pivotField showAll="0"/>
    <pivotField showAll="0"/>
    <pivotField showAll="0"/>
    <pivotField showAll="0"/>
    <pivotField dataField="1" showAll="0"/>
    <pivotField showAll="0"/>
    <pivotField showAll="0"/>
  </pivotFields>
  <rowFields count="1">
    <field x="4"/>
  </rowFields>
  <rowItems count="5">
    <i>
      <x/>
    </i>
    <i>
      <x v="1"/>
    </i>
    <i>
      <x v="2"/>
    </i>
    <i>
      <x v="3"/>
    </i>
    <i t="grand">
      <x/>
    </i>
  </rowItems>
  <colItems count="1">
    <i/>
  </colItems>
  <dataFields count="1">
    <dataField name="Sum of Sales" fld="9" baseField="0" baseItem="0"/>
  </dataFields>
  <chartFormats count="5">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4"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846496-42D6-4A8C-A2D4-5628FE480B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3" firstHeaderRow="1" firstDataRow="1" firstDataCol="1"/>
  <pivotFields count="12">
    <pivotField showAll="0"/>
    <pivotField axis="axisRow" showAll="0">
      <items count="366">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12"/>
        <item x="43"/>
        <item x="71"/>
        <item x="102"/>
        <item x="132"/>
        <item x="163"/>
        <item x="193"/>
        <item x="224"/>
        <item x="255"/>
        <item x="285"/>
        <item x="316"/>
        <item x="346"/>
        <item x="13"/>
        <item x="44"/>
        <item x="72"/>
        <item x="103"/>
        <item x="133"/>
        <item x="164"/>
        <item x="194"/>
        <item x="225"/>
        <item x="256"/>
        <item x="286"/>
        <item x="317"/>
        <item x="347"/>
        <item x="14"/>
        <item x="45"/>
        <item x="73"/>
        <item x="104"/>
        <item x="134"/>
        <item x="165"/>
        <item x="195"/>
        <item x="226"/>
        <item x="257"/>
        <item x="287"/>
        <item x="318"/>
        <item x="348"/>
        <item x="15"/>
        <item x="46"/>
        <item x="74"/>
        <item x="105"/>
        <item x="135"/>
        <item x="166"/>
        <item x="196"/>
        <item x="227"/>
        <item x="258"/>
        <item x="288"/>
        <item x="319"/>
        <item x="349"/>
        <item x="16"/>
        <item x="47"/>
        <item x="75"/>
        <item x="106"/>
        <item x="136"/>
        <item x="167"/>
        <item x="197"/>
        <item x="228"/>
        <item x="259"/>
        <item x="289"/>
        <item x="320"/>
        <item x="350"/>
        <item x="17"/>
        <item x="48"/>
        <item x="76"/>
        <item x="107"/>
        <item x="137"/>
        <item x="168"/>
        <item x="198"/>
        <item x="229"/>
        <item x="260"/>
        <item x="290"/>
        <item x="321"/>
        <item x="351"/>
        <item x="18"/>
        <item x="49"/>
        <item x="77"/>
        <item x="108"/>
        <item x="138"/>
        <item x="169"/>
        <item x="199"/>
        <item x="230"/>
        <item x="261"/>
        <item x="291"/>
        <item x="322"/>
        <item x="352"/>
        <item x="19"/>
        <item x="50"/>
        <item x="78"/>
        <item x="109"/>
        <item x="139"/>
        <item x="170"/>
        <item x="200"/>
        <item x="231"/>
        <item x="262"/>
        <item x="292"/>
        <item x="323"/>
        <item x="353"/>
        <item x="20"/>
        <item x="51"/>
        <item x="79"/>
        <item x="110"/>
        <item x="140"/>
        <item x="171"/>
        <item x="201"/>
        <item x="232"/>
        <item x="263"/>
        <item x="293"/>
        <item x="324"/>
        <item x="354"/>
        <item x="21"/>
        <item x="52"/>
        <item x="80"/>
        <item x="111"/>
        <item x="141"/>
        <item x="172"/>
        <item x="202"/>
        <item x="233"/>
        <item x="264"/>
        <item x="294"/>
        <item x="325"/>
        <item x="355"/>
        <item x="22"/>
        <item x="53"/>
        <item x="81"/>
        <item x="112"/>
        <item x="142"/>
        <item x="173"/>
        <item x="203"/>
        <item x="234"/>
        <item x="265"/>
        <item x="295"/>
        <item x="326"/>
        <item x="356"/>
        <item x="23"/>
        <item x="54"/>
        <item x="82"/>
        <item x="113"/>
        <item x="143"/>
        <item x="174"/>
        <item x="204"/>
        <item x="235"/>
        <item x="266"/>
        <item x="296"/>
        <item x="327"/>
        <item x="357"/>
        <item x="24"/>
        <item x="55"/>
        <item x="83"/>
        <item x="114"/>
        <item x="144"/>
        <item x="175"/>
        <item x="205"/>
        <item x="236"/>
        <item x="267"/>
        <item x="297"/>
        <item x="328"/>
        <item x="358"/>
        <item x="25"/>
        <item x="56"/>
        <item x="84"/>
        <item x="115"/>
        <item x="145"/>
        <item x="176"/>
        <item x="206"/>
        <item x="237"/>
        <item x="268"/>
        <item x="298"/>
        <item x="329"/>
        <item x="359"/>
        <item x="26"/>
        <item x="57"/>
        <item x="85"/>
        <item x="116"/>
        <item x="146"/>
        <item x="177"/>
        <item x="207"/>
        <item x="238"/>
        <item x="269"/>
        <item x="299"/>
        <item x="330"/>
        <item x="360"/>
        <item x="27"/>
        <item x="58"/>
        <item x="86"/>
        <item x="117"/>
        <item x="147"/>
        <item x="178"/>
        <item x="208"/>
        <item x="239"/>
        <item x="270"/>
        <item x="300"/>
        <item x="331"/>
        <item x="361"/>
        <item x="28"/>
        <item x="87"/>
        <item x="118"/>
        <item x="148"/>
        <item x="179"/>
        <item x="209"/>
        <item x="240"/>
        <item x="271"/>
        <item x="301"/>
        <item x="332"/>
        <item x="362"/>
        <item x="29"/>
        <item x="88"/>
        <item x="119"/>
        <item x="149"/>
        <item x="180"/>
        <item x="210"/>
        <item x="241"/>
        <item x="272"/>
        <item x="302"/>
        <item x="333"/>
        <item x="363"/>
        <item x="30"/>
        <item x="89"/>
        <item x="150"/>
        <item x="211"/>
        <item x="242"/>
        <item x="303"/>
        <item x="364"/>
        <item t="default"/>
      </items>
    </pivotField>
    <pivotField showAll="0"/>
    <pivotField showAll="0">
      <items count="9">
        <item x="6"/>
        <item x="0"/>
        <item x="2"/>
        <item x="1"/>
        <item x="4"/>
        <item x="5"/>
        <item x="7"/>
        <item x="3"/>
        <item t="default"/>
      </items>
    </pivotField>
    <pivotField showAll="0">
      <items count="5">
        <item x="1"/>
        <item h="1" x="0"/>
        <item h="1" x="2"/>
        <item h="1" x="3"/>
        <item t="default"/>
      </items>
    </pivotField>
    <pivotField showAll="0">
      <items count="5">
        <item x="2"/>
        <item h="1" x="1"/>
        <item h="1" x="3"/>
        <item h="1" x="0"/>
        <item t="default"/>
      </items>
    </pivotField>
    <pivotField showAll="0">
      <items count="6">
        <item x="3"/>
        <item h="1" x="2"/>
        <item h="1" x="0"/>
        <item h="1" x="1"/>
        <item h="1" x="4"/>
        <item t="default"/>
      </items>
    </pivotField>
    <pivotField showAll="0"/>
    <pivotField showAll="0"/>
    <pivotField dataField="1" showAll="0"/>
    <pivotField showAll="0"/>
    <pivotField showAll="0"/>
  </pivotFields>
  <rowFields count="1">
    <field x="1"/>
  </rowFields>
  <rowItems count="20">
    <i>
      <x v="37"/>
    </i>
    <i>
      <x v="51"/>
    </i>
    <i>
      <x v="52"/>
    </i>
    <i>
      <x v="76"/>
    </i>
    <i>
      <x v="86"/>
    </i>
    <i>
      <x v="90"/>
    </i>
    <i>
      <x v="103"/>
    </i>
    <i>
      <x v="134"/>
    </i>
    <i>
      <x v="175"/>
    </i>
    <i>
      <x v="180"/>
    </i>
    <i>
      <x v="211"/>
    </i>
    <i>
      <x v="238"/>
    </i>
    <i>
      <x v="242"/>
    </i>
    <i>
      <x v="270"/>
    </i>
    <i>
      <x v="285"/>
    </i>
    <i>
      <x v="291"/>
    </i>
    <i>
      <x v="294"/>
    </i>
    <i>
      <x v="317"/>
    </i>
    <i>
      <x v="360"/>
    </i>
    <i t="grand">
      <x/>
    </i>
  </rowItems>
  <colItems count="1">
    <i/>
  </colItems>
  <dataFields count="1">
    <dataField name="Sum of Sales" fld="9"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768F6D4-ACB4-47A9-8985-91F3C92FE873}" sourceName="Product">
  <pivotTables>
    <pivotTable tabId="18" name="PivotTable1"/>
    <pivotTable tabId="17" name="PivotTable2"/>
    <pivotTable tabId="19" name="PivotTable1"/>
    <pivotTable tabId="20" name="PivotTable2"/>
    <pivotTable tabId="15" name="PivotTable1"/>
    <pivotTable tabId="21" name="PivotTable3"/>
  </pivotTables>
  <data>
    <tabular pivotCacheId="941828937">
      <items count="8">
        <i x="6" s="1"/>
        <i x="0" s="1"/>
        <i x="2" s="1"/>
        <i x="1" s="1"/>
        <i x="4" s="1"/>
        <i x="5" s="1"/>
        <i x="7"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E8EA0F-C9A1-4D45-B790-0EC20AF8D364}" sourceName="Category">
  <pivotTables>
    <pivotTable tabId="18" name="PivotTable1"/>
  </pivotTables>
  <data>
    <tabular pivotCacheId="941828937">
      <items count="4">
        <i x="1" s="1"/>
        <i x="0"/>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52B563-9F2E-4B29-8445-C4A369C146B9}" sourceName="Region">
  <pivotTables>
    <pivotTable tabId="18" name="PivotTable1"/>
    <pivotTable tabId="15" name="PivotTable1"/>
  </pivotTables>
  <data>
    <tabular pivotCacheId="941828937">
      <items count="4">
        <i x="2" s="1"/>
        <i x="1"/>
        <i x="3"/>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513E3F1-DD4C-46B5-A6B6-81D295FB35C8}" sourceName="Salesperson">
  <pivotTables>
    <pivotTable tabId="18" name="PivotTable1"/>
  </pivotTables>
  <data>
    <tabular pivotCacheId="941828937">
      <items count="5">
        <i x="3" s="1"/>
        <i x="2"/>
        <i x="0"/>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684F638-5FDC-4259-B420-7A46AF59A064}" cache="Slicer_Product" caption="Product" rowHeight="234950"/>
  <slicer name="Category" xr10:uid="{2B65B730-C121-499B-AE24-DB342276525C}" cache="Slicer_Category" caption="Category" rowHeight="234950"/>
  <slicer name="Region" xr10:uid="{30908954-6C76-4ECA-B14A-6AD76DC6B00C}" cache="Slicer_Region" caption="Region" rowHeight="234950"/>
  <slicer name="Salesperson" xr10:uid="{75002210-348F-485A-A160-CB697B5B7BAD}"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A05CC3-46F8-490F-9979-CC7C2C9FB9BF}" name="salesdata" displayName="salesdata" ref="A1:L1001" totalsRowShown="0" headerRowDxfId="0">
  <autoFilter ref="A1:L1001" xr:uid="{1DA05CC3-46F8-490F-9979-CC7C2C9FB9BF}"/>
  <tableColumns count="12">
    <tableColumn id="1" xr3:uid="{4A7FAA14-60B4-418D-894A-463267319D3A}" name="Order ID"/>
    <tableColumn id="2" xr3:uid="{230AC3A7-0817-480E-B64F-A89F931BEF28}" name="Order ID2"/>
    <tableColumn id="3" xr3:uid="{61FC3982-0CD2-4ACD-96FD-3DF4DF48CECD}" name="Order ID3"/>
    <tableColumn id="4" xr3:uid="{E0D92DCA-E03E-4DD7-9524-3180601EE51F}" name="Product"/>
    <tableColumn id="5" xr3:uid="{6F6258EB-B4B8-4C61-ADA1-61BD4D65B3BE}" name="Category"/>
    <tableColumn id="6" xr3:uid="{CCFA3AA2-E08A-4D6D-B510-E2E64FE4813F}" name="Region"/>
    <tableColumn id="7" xr3:uid="{FA0D8161-A01F-44B1-89F2-813888AD4CD0}" name="Salesperson"/>
    <tableColumn id="8" xr3:uid="{7471E4EC-D7F1-4F27-B83C-ECE3587134D4}" name="Qty"/>
    <tableColumn id="9" xr3:uid="{3BB4A5FE-DCCF-43A9-8362-1C6154D411A7}" name="Unit Price"/>
    <tableColumn id="10" xr3:uid="{78F169F5-6B41-4069-B2BF-F0AB6C522121}" name="Sales"/>
    <tableColumn id="11" xr3:uid="{3CDD68C8-43E3-4618-9714-5F9869FF6225}" name="Cost"/>
    <tableColumn id="12" xr3:uid="{08908B50-01BA-4163-8FD8-83003792BB1B}"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0F0EA-0A74-48BB-B536-D24487491B6E}">
  <dimension ref="A3:B12"/>
  <sheetViews>
    <sheetView workbookViewId="0">
      <selection activeCell="O13" sqref="O13"/>
    </sheetView>
  </sheetViews>
  <sheetFormatPr defaultRowHeight="14.4" x14ac:dyDescent="0.3"/>
  <cols>
    <col min="1" max="1" width="12.5546875" bestFit="1" customWidth="1"/>
    <col min="2" max="2" width="11.6640625" bestFit="1" customWidth="1"/>
  </cols>
  <sheetData>
    <row r="3" spans="1:2" x14ac:dyDescent="0.3">
      <c r="A3" s="2" t="s">
        <v>2406</v>
      </c>
      <c r="B3" t="s">
        <v>2408</v>
      </c>
    </row>
    <row r="4" spans="1:2" x14ac:dyDescent="0.3">
      <c r="A4" s="3" t="s">
        <v>12</v>
      </c>
      <c r="B4">
        <v>35050000</v>
      </c>
    </row>
    <row r="5" spans="1:2" x14ac:dyDescent="0.3">
      <c r="A5" s="3" t="s">
        <v>42</v>
      </c>
      <c r="B5">
        <v>12150000</v>
      </c>
    </row>
    <row r="6" spans="1:2" x14ac:dyDescent="0.3">
      <c r="A6" s="3" t="s">
        <v>30</v>
      </c>
      <c r="B6">
        <v>8568000</v>
      </c>
    </row>
    <row r="7" spans="1:2" x14ac:dyDescent="0.3">
      <c r="A7" s="3" t="s">
        <v>106</v>
      </c>
      <c r="B7">
        <v>4316000</v>
      </c>
    </row>
    <row r="8" spans="1:2" x14ac:dyDescent="0.3">
      <c r="A8" s="3" t="s">
        <v>34</v>
      </c>
      <c r="B8">
        <v>1980000</v>
      </c>
    </row>
    <row r="9" spans="1:2" x14ac:dyDescent="0.3">
      <c r="A9" s="3" t="s">
        <v>50</v>
      </c>
      <c r="B9">
        <v>1414600</v>
      </c>
    </row>
    <row r="10" spans="1:2" x14ac:dyDescent="0.3">
      <c r="A10" s="3" t="s">
        <v>59</v>
      </c>
      <c r="B10">
        <v>1045500</v>
      </c>
    </row>
    <row r="11" spans="1:2" x14ac:dyDescent="0.3">
      <c r="A11" s="3" t="s">
        <v>23</v>
      </c>
      <c r="B11">
        <v>521600</v>
      </c>
    </row>
    <row r="12" spans="1:2" x14ac:dyDescent="0.3">
      <c r="A12" s="3" t="s">
        <v>2407</v>
      </c>
      <c r="B12">
        <v>65045700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320AF-31E6-4241-9B4E-CC4C524864E3}">
  <dimension ref="A3:B8"/>
  <sheetViews>
    <sheetView workbookViewId="0">
      <selection activeCell="B9" sqref="B9"/>
    </sheetView>
  </sheetViews>
  <sheetFormatPr defaultRowHeight="14.4" x14ac:dyDescent="0.3"/>
  <cols>
    <col min="1" max="1" width="12.5546875" bestFit="1" customWidth="1"/>
    <col min="2" max="2" width="12.109375" bestFit="1" customWidth="1"/>
  </cols>
  <sheetData>
    <row r="3" spans="1:2" x14ac:dyDescent="0.3">
      <c r="A3" s="2" t="s">
        <v>2406</v>
      </c>
      <c r="B3" t="s">
        <v>2409</v>
      </c>
    </row>
    <row r="4" spans="1:2" x14ac:dyDescent="0.3">
      <c r="A4" s="3" t="s">
        <v>51</v>
      </c>
      <c r="B4">
        <v>254637</v>
      </c>
    </row>
    <row r="5" spans="1:2" x14ac:dyDescent="0.3">
      <c r="A5" s="3" t="s">
        <v>24</v>
      </c>
      <c r="B5">
        <v>638512</v>
      </c>
    </row>
    <row r="6" spans="1:2" x14ac:dyDescent="0.3">
      <c r="A6" s="3" t="s">
        <v>107</v>
      </c>
      <c r="B6">
        <v>776900</v>
      </c>
    </row>
    <row r="7" spans="1:2" x14ac:dyDescent="0.3">
      <c r="A7" s="3" t="s">
        <v>13</v>
      </c>
      <c r="B7">
        <v>10038299</v>
      </c>
    </row>
    <row r="8" spans="1:2" x14ac:dyDescent="0.3">
      <c r="A8" s="3" t="s">
        <v>2407</v>
      </c>
      <c r="B8">
        <v>11708348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CB5FC-B8E3-48A5-B9E3-84490820ECCD}">
  <dimension ref="A3:B9"/>
  <sheetViews>
    <sheetView tabSelected="1" workbookViewId="0">
      <selection activeCell="P20" sqref="P20"/>
    </sheetView>
  </sheetViews>
  <sheetFormatPr defaultRowHeight="14.4" x14ac:dyDescent="0.3"/>
  <cols>
    <col min="1" max="1" width="12.5546875" bestFit="1" customWidth="1"/>
    <col min="2" max="2" width="11.6640625" bestFit="1" customWidth="1"/>
  </cols>
  <sheetData>
    <row r="3" spans="1:2" x14ac:dyDescent="0.3">
      <c r="A3" s="2" t="s">
        <v>2406</v>
      </c>
      <c r="B3" t="s">
        <v>2408</v>
      </c>
    </row>
    <row r="4" spans="1:2" x14ac:dyDescent="0.3">
      <c r="A4" s="3" t="s">
        <v>19</v>
      </c>
      <c r="B4">
        <v>14459700</v>
      </c>
    </row>
    <row r="5" spans="1:2" x14ac:dyDescent="0.3">
      <c r="A5" s="3" t="s">
        <v>84</v>
      </c>
      <c r="B5">
        <v>14329400</v>
      </c>
    </row>
    <row r="6" spans="1:2" x14ac:dyDescent="0.3">
      <c r="A6" s="3" t="s">
        <v>15</v>
      </c>
      <c r="B6">
        <v>13665000</v>
      </c>
    </row>
    <row r="7" spans="1:2" x14ac:dyDescent="0.3">
      <c r="A7" s="3" t="s">
        <v>26</v>
      </c>
      <c r="B7">
        <v>12211200</v>
      </c>
    </row>
    <row r="8" spans="1:2" x14ac:dyDescent="0.3">
      <c r="A8" s="3" t="s">
        <v>43</v>
      </c>
      <c r="B8">
        <v>10380400</v>
      </c>
    </row>
    <row r="9" spans="1:2" x14ac:dyDescent="0.3">
      <c r="A9" s="3" t="s">
        <v>2407</v>
      </c>
      <c r="B9">
        <v>65045700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4671F-E791-4A93-B195-EBB231740C34}">
  <dimension ref="A3:B5"/>
  <sheetViews>
    <sheetView workbookViewId="0">
      <selection activeCell="B8" sqref="B8"/>
    </sheetView>
  </sheetViews>
  <sheetFormatPr defaultRowHeight="14.4" x14ac:dyDescent="0.3"/>
  <cols>
    <col min="1" max="1" width="12.5546875" bestFit="1" customWidth="1"/>
    <col min="2" max="2" width="11.6640625" bestFit="1" customWidth="1"/>
  </cols>
  <sheetData>
    <row r="3" spans="1:2" x14ac:dyDescent="0.3">
      <c r="A3" s="2" t="s">
        <v>2406</v>
      </c>
      <c r="B3" t="s">
        <v>2408</v>
      </c>
    </row>
    <row r="4" spans="1:2" x14ac:dyDescent="0.3">
      <c r="A4" s="3" t="s">
        <v>38</v>
      </c>
      <c r="B4">
        <v>15146100</v>
      </c>
    </row>
    <row r="5" spans="1:2" x14ac:dyDescent="0.3">
      <c r="A5" s="3" t="s">
        <v>2407</v>
      </c>
      <c r="B5">
        <v>15146100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8DF3-87D7-43BF-B302-8D695218D205}">
  <dimension ref="A3:Q9"/>
  <sheetViews>
    <sheetView zoomScale="94" zoomScaleNormal="96" workbookViewId="0">
      <selection activeCell="H77" sqref="H77"/>
    </sheetView>
  </sheetViews>
  <sheetFormatPr defaultRowHeight="14.4" x14ac:dyDescent="0.3"/>
  <cols>
    <col min="1" max="1" width="19.109375" bestFit="1" customWidth="1"/>
    <col min="2" max="2" width="12.109375" bestFit="1" customWidth="1"/>
    <col min="7" max="7" width="12.109375" customWidth="1"/>
    <col min="8" max="8" width="31.44140625" customWidth="1"/>
    <col min="9" max="9" width="11.88671875" customWidth="1"/>
    <col min="10" max="10" width="11" customWidth="1"/>
  </cols>
  <sheetData>
    <row r="3" spans="1:17" ht="23.4" x14ac:dyDescent="0.45">
      <c r="H3" s="4"/>
      <c r="J3" s="4"/>
    </row>
    <row r="4" spans="1:17" x14ac:dyDescent="0.3">
      <c r="F4" s="5"/>
    </row>
    <row r="7" spans="1:17" x14ac:dyDescent="0.3">
      <c r="Q7" s="6"/>
    </row>
    <row r="8" spans="1:17" ht="15" thickBot="1" x14ac:dyDescent="0.35">
      <c r="C8" s="6"/>
    </row>
    <row r="9" spans="1:17" ht="16.2" thickBot="1" x14ac:dyDescent="0.35">
      <c r="A9" s="7">
        <f>PT_REGION!B8</f>
        <v>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activeCell="Q7" sqref="Q7"/>
    </sheetView>
  </sheetViews>
  <sheetFormatPr defaultRowHeight="14.4" x14ac:dyDescent="0.3"/>
  <cols>
    <col min="1" max="1" width="10.6640625" customWidth="1"/>
    <col min="2" max="2" width="11.21875" customWidth="1"/>
    <col min="3" max="3" width="16" customWidth="1"/>
    <col min="4" max="4" width="11.5546875" customWidth="1"/>
    <col min="5" max="5" width="11.77734375" customWidth="1"/>
    <col min="6" max="6" width="11.88671875" customWidth="1"/>
    <col min="7" max="7" width="13.44140625" customWidth="1"/>
    <col min="8" max="8" width="10.88671875" customWidth="1"/>
    <col min="9" max="9" width="11.33203125" customWidth="1"/>
    <col min="10" max="10" width="11" customWidth="1"/>
    <col min="11" max="11" width="12.33203125" customWidth="1"/>
    <col min="12" max="12" width="10.44140625" customWidth="1"/>
    <col min="15" max="15" width="13.109375" customWidth="1"/>
    <col min="17" max="17" width="15.33203125" bestFit="1" customWidth="1"/>
  </cols>
  <sheetData>
    <row r="1" spans="1:17" x14ac:dyDescent="0.3">
      <c r="A1" s="1" t="s">
        <v>0</v>
      </c>
      <c r="B1" s="1" t="s">
        <v>2395</v>
      </c>
      <c r="C1" s="1" t="s">
        <v>2396</v>
      </c>
      <c r="D1" s="1" t="s">
        <v>1</v>
      </c>
      <c r="E1" s="1" t="s">
        <v>2</v>
      </c>
      <c r="F1" s="1" t="s">
        <v>3</v>
      </c>
      <c r="G1" s="1" t="s">
        <v>4</v>
      </c>
      <c r="H1" s="1" t="s">
        <v>5</v>
      </c>
      <c r="I1" s="1" t="s">
        <v>6</v>
      </c>
      <c r="J1" s="1" t="s">
        <v>7</v>
      </c>
      <c r="K1" s="1" t="s">
        <v>8</v>
      </c>
      <c r="L1" s="1" t="s">
        <v>9</v>
      </c>
    </row>
    <row r="2" spans="1:17" x14ac:dyDescent="0.3">
      <c r="A2" t="s">
        <v>10</v>
      </c>
      <c r="B2" t="s">
        <v>11</v>
      </c>
      <c r="D2" t="s">
        <v>12</v>
      </c>
      <c r="E2" t="s">
        <v>13</v>
      </c>
      <c r="F2" t="s">
        <v>14</v>
      </c>
      <c r="G2" t="s">
        <v>15</v>
      </c>
      <c r="H2">
        <v>7</v>
      </c>
      <c r="I2">
        <v>50000</v>
      </c>
      <c r="J2">
        <v>350000</v>
      </c>
      <c r="K2">
        <v>287000</v>
      </c>
      <c r="L2">
        <v>63000</v>
      </c>
    </row>
    <row r="3" spans="1:17" x14ac:dyDescent="0.3">
      <c r="A3" t="s">
        <v>16</v>
      </c>
      <c r="B3" t="s">
        <v>17</v>
      </c>
      <c r="C3" t="s">
        <v>18</v>
      </c>
      <c r="D3" t="s">
        <v>12</v>
      </c>
      <c r="E3" t="s">
        <v>13</v>
      </c>
      <c r="F3" t="s">
        <v>14</v>
      </c>
      <c r="G3" t="s">
        <v>19</v>
      </c>
      <c r="H3">
        <v>5</v>
      </c>
      <c r="I3">
        <v>50000</v>
      </c>
      <c r="J3">
        <v>250000</v>
      </c>
      <c r="K3">
        <v>205000</v>
      </c>
      <c r="L3">
        <v>45000</v>
      </c>
      <c r="O3" s="1" t="s">
        <v>2397</v>
      </c>
      <c r="P3" s="1"/>
      <c r="Q3" s="1" t="s">
        <v>2398</v>
      </c>
    </row>
    <row r="4" spans="1:17" x14ac:dyDescent="0.3">
      <c r="A4" t="s">
        <v>20</v>
      </c>
      <c r="B4" t="s">
        <v>21</v>
      </c>
      <c r="C4" t="s">
        <v>22</v>
      </c>
      <c r="D4" t="s">
        <v>23</v>
      </c>
      <c r="E4" t="s">
        <v>24</v>
      </c>
      <c r="F4" t="s">
        <v>25</v>
      </c>
      <c r="G4" t="s">
        <v>26</v>
      </c>
      <c r="H4">
        <v>9</v>
      </c>
      <c r="I4">
        <v>800</v>
      </c>
      <c r="J4">
        <v>7200</v>
      </c>
      <c r="K4">
        <v>5904</v>
      </c>
      <c r="L4">
        <v>1296</v>
      </c>
    </row>
    <row r="5" spans="1:17" x14ac:dyDescent="0.3">
      <c r="A5" t="s">
        <v>27</v>
      </c>
      <c r="B5" t="s">
        <v>28</v>
      </c>
      <c r="C5" t="s">
        <v>29</v>
      </c>
      <c r="D5" t="s">
        <v>30</v>
      </c>
      <c r="E5" t="s">
        <v>13</v>
      </c>
      <c r="F5" t="s">
        <v>14</v>
      </c>
      <c r="G5" t="s">
        <v>19</v>
      </c>
      <c r="H5">
        <v>2</v>
      </c>
      <c r="I5">
        <v>12000</v>
      </c>
      <c r="J5">
        <v>24000</v>
      </c>
      <c r="K5">
        <v>19680</v>
      </c>
      <c r="L5">
        <v>4320</v>
      </c>
      <c r="O5" t="s">
        <v>2399</v>
      </c>
      <c r="Q5" s="6">
        <f>SUM(J:J)</f>
        <v>65045700</v>
      </c>
    </row>
    <row r="6" spans="1:17" x14ac:dyDescent="0.3">
      <c r="A6" t="s">
        <v>31</v>
      </c>
      <c r="B6" t="s">
        <v>32</v>
      </c>
      <c r="C6" t="s">
        <v>33</v>
      </c>
      <c r="D6" t="s">
        <v>34</v>
      </c>
      <c r="E6" t="s">
        <v>24</v>
      </c>
      <c r="F6" t="s">
        <v>14</v>
      </c>
      <c r="G6" t="s">
        <v>19</v>
      </c>
      <c r="H6">
        <v>3</v>
      </c>
      <c r="I6">
        <v>3000</v>
      </c>
      <c r="J6">
        <v>9000</v>
      </c>
      <c r="K6">
        <v>7380</v>
      </c>
      <c r="L6">
        <v>1620</v>
      </c>
      <c r="O6" t="s">
        <v>2400</v>
      </c>
      <c r="Q6" s="6">
        <f>SUM(L:L)</f>
        <v>11708348</v>
      </c>
    </row>
    <row r="7" spans="1:17" x14ac:dyDescent="0.3">
      <c r="A7" t="s">
        <v>35</v>
      </c>
      <c r="B7" t="s">
        <v>36</v>
      </c>
      <c r="C7" t="s">
        <v>37</v>
      </c>
      <c r="D7" t="s">
        <v>34</v>
      </c>
      <c r="E7" t="s">
        <v>24</v>
      </c>
      <c r="F7" t="s">
        <v>38</v>
      </c>
      <c r="G7" t="s">
        <v>26</v>
      </c>
      <c r="H7">
        <v>4</v>
      </c>
      <c r="I7">
        <v>3000</v>
      </c>
      <c r="J7">
        <v>12000</v>
      </c>
      <c r="K7">
        <v>9840</v>
      </c>
      <c r="L7">
        <v>2160</v>
      </c>
      <c r="O7" t="s">
        <v>2401</v>
      </c>
      <c r="Q7" s="6">
        <f>COUNTA(salesdata[Order ID])</f>
        <v>1000</v>
      </c>
    </row>
    <row r="8" spans="1:17" x14ac:dyDescent="0.3">
      <c r="A8" t="s">
        <v>39</v>
      </c>
      <c r="B8" t="s">
        <v>40</v>
      </c>
      <c r="C8" t="s">
        <v>41</v>
      </c>
      <c r="D8" t="s">
        <v>42</v>
      </c>
      <c r="E8" t="s">
        <v>13</v>
      </c>
      <c r="F8" t="s">
        <v>38</v>
      </c>
      <c r="G8" t="s">
        <v>43</v>
      </c>
      <c r="H8">
        <v>6</v>
      </c>
      <c r="I8">
        <v>15000</v>
      </c>
      <c r="J8">
        <v>90000</v>
      </c>
      <c r="K8">
        <v>73800</v>
      </c>
      <c r="L8">
        <v>16200</v>
      </c>
      <c r="O8" t="s">
        <v>2402</v>
      </c>
      <c r="Q8" s="6">
        <f>SUM(salesdata[Qty])</f>
        <v>5541</v>
      </c>
    </row>
    <row r="9" spans="1:17" x14ac:dyDescent="0.3">
      <c r="A9" t="s">
        <v>44</v>
      </c>
      <c r="B9" t="s">
        <v>45</v>
      </c>
      <c r="C9" t="s">
        <v>46</v>
      </c>
      <c r="D9" t="s">
        <v>12</v>
      </c>
      <c r="E9" t="s">
        <v>13</v>
      </c>
      <c r="F9" t="s">
        <v>38</v>
      </c>
      <c r="G9" t="s">
        <v>26</v>
      </c>
      <c r="H9">
        <v>3</v>
      </c>
      <c r="I9">
        <v>50000</v>
      </c>
      <c r="J9">
        <v>150000</v>
      </c>
      <c r="K9">
        <v>122999</v>
      </c>
      <c r="L9">
        <v>27001</v>
      </c>
      <c r="O9" t="s">
        <v>2403</v>
      </c>
      <c r="Q9" s="6">
        <f>AVERAGE(J:J)</f>
        <v>65045.7</v>
      </c>
    </row>
    <row r="10" spans="1:17" x14ac:dyDescent="0.3">
      <c r="A10" t="s">
        <v>47</v>
      </c>
      <c r="B10" t="s">
        <v>48</v>
      </c>
      <c r="C10" t="s">
        <v>49</v>
      </c>
      <c r="D10" t="s">
        <v>50</v>
      </c>
      <c r="E10" t="s">
        <v>51</v>
      </c>
      <c r="F10" t="s">
        <v>52</v>
      </c>
      <c r="G10" t="s">
        <v>43</v>
      </c>
      <c r="H10">
        <v>2</v>
      </c>
      <c r="I10">
        <v>2200</v>
      </c>
      <c r="J10">
        <v>4400</v>
      </c>
      <c r="K10">
        <v>3608</v>
      </c>
      <c r="L10">
        <v>792</v>
      </c>
      <c r="O10" t="s">
        <v>2404</v>
      </c>
      <c r="Q10" s="6">
        <f>SUM(K:K)</f>
        <v>53337352</v>
      </c>
    </row>
    <row r="11" spans="1:17" x14ac:dyDescent="0.3">
      <c r="A11" t="s">
        <v>53</v>
      </c>
      <c r="B11" t="s">
        <v>54</v>
      </c>
      <c r="C11" t="s">
        <v>55</v>
      </c>
      <c r="D11" t="s">
        <v>23</v>
      </c>
      <c r="E11" t="s">
        <v>24</v>
      </c>
      <c r="F11" t="s">
        <v>14</v>
      </c>
      <c r="G11" t="s">
        <v>19</v>
      </c>
      <c r="H11">
        <v>1</v>
      </c>
      <c r="I11">
        <v>800</v>
      </c>
      <c r="J11">
        <v>800</v>
      </c>
      <c r="K11">
        <v>656</v>
      </c>
      <c r="L11">
        <v>144</v>
      </c>
      <c r="O11" t="s">
        <v>2405</v>
      </c>
      <c r="Q11" s="6">
        <f>SUM(I2:I1001)</f>
        <v>11736200</v>
      </c>
    </row>
    <row r="12" spans="1:17" x14ac:dyDescent="0.3">
      <c r="A12" t="s">
        <v>56</v>
      </c>
      <c r="B12" t="s">
        <v>57</v>
      </c>
      <c r="C12" t="s">
        <v>58</v>
      </c>
      <c r="D12" t="s">
        <v>59</v>
      </c>
      <c r="E12" t="s">
        <v>24</v>
      </c>
      <c r="F12" t="s">
        <v>25</v>
      </c>
      <c r="G12" t="s">
        <v>15</v>
      </c>
      <c r="H12">
        <v>10</v>
      </c>
      <c r="I12">
        <v>1500</v>
      </c>
      <c r="J12">
        <v>15000</v>
      </c>
      <c r="K12">
        <v>12300</v>
      </c>
      <c r="L12">
        <v>2700</v>
      </c>
    </row>
    <row r="13" spans="1:17" x14ac:dyDescent="0.3">
      <c r="A13" t="s">
        <v>60</v>
      </c>
      <c r="B13" t="s">
        <v>61</v>
      </c>
      <c r="C13" t="s">
        <v>62</v>
      </c>
      <c r="D13" t="s">
        <v>42</v>
      </c>
      <c r="E13" t="s">
        <v>13</v>
      </c>
      <c r="F13" t="s">
        <v>38</v>
      </c>
      <c r="G13" t="s">
        <v>15</v>
      </c>
      <c r="H13">
        <v>7</v>
      </c>
      <c r="I13">
        <v>15000</v>
      </c>
      <c r="J13">
        <v>105000</v>
      </c>
      <c r="K13">
        <v>86100</v>
      </c>
      <c r="L13">
        <v>18900</v>
      </c>
    </row>
    <row r="14" spans="1:17" x14ac:dyDescent="0.3">
      <c r="A14" t="s">
        <v>63</v>
      </c>
      <c r="B14" t="s">
        <v>64</v>
      </c>
      <c r="C14" t="s">
        <v>65</v>
      </c>
      <c r="D14" t="s">
        <v>23</v>
      </c>
      <c r="E14" t="s">
        <v>24</v>
      </c>
      <c r="F14" t="s">
        <v>52</v>
      </c>
      <c r="G14" t="s">
        <v>43</v>
      </c>
      <c r="H14">
        <v>3</v>
      </c>
      <c r="I14">
        <v>800</v>
      </c>
      <c r="J14">
        <v>2400</v>
      </c>
      <c r="K14">
        <v>1967</v>
      </c>
      <c r="L14">
        <v>433</v>
      </c>
    </row>
    <row r="15" spans="1:17" x14ac:dyDescent="0.3">
      <c r="A15" t="s">
        <v>66</v>
      </c>
      <c r="B15" t="s">
        <v>67</v>
      </c>
      <c r="C15" t="s">
        <v>68</v>
      </c>
      <c r="D15" t="s">
        <v>34</v>
      </c>
      <c r="E15" t="s">
        <v>24</v>
      </c>
      <c r="F15" t="s">
        <v>25</v>
      </c>
      <c r="G15" t="s">
        <v>43</v>
      </c>
      <c r="H15">
        <v>10</v>
      </c>
      <c r="I15">
        <v>3000</v>
      </c>
      <c r="J15">
        <v>30000</v>
      </c>
      <c r="K15">
        <v>24600</v>
      </c>
      <c r="L15">
        <v>5400</v>
      </c>
    </row>
    <row r="16" spans="1:17" x14ac:dyDescent="0.3">
      <c r="A16" t="s">
        <v>69</v>
      </c>
      <c r="B16" t="s">
        <v>70</v>
      </c>
      <c r="C16" t="s">
        <v>71</v>
      </c>
      <c r="D16" t="s">
        <v>12</v>
      </c>
      <c r="E16" t="s">
        <v>13</v>
      </c>
      <c r="F16" t="s">
        <v>14</v>
      </c>
      <c r="G16" t="s">
        <v>15</v>
      </c>
      <c r="H16">
        <v>5</v>
      </c>
      <c r="I16">
        <v>50000</v>
      </c>
      <c r="J16">
        <v>250000</v>
      </c>
      <c r="K16">
        <v>205000</v>
      </c>
      <c r="L16">
        <v>45000</v>
      </c>
    </row>
    <row r="17" spans="1:12" x14ac:dyDescent="0.3">
      <c r="A17" t="s">
        <v>72</v>
      </c>
      <c r="B17" t="s">
        <v>73</v>
      </c>
      <c r="C17" t="s">
        <v>74</v>
      </c>
      <c r="D17" t="s">
        <v>50</v>
      </c>
      <c r="E17" t="s">
        <v>51</v>
      </c>
      <c r="F17" t="s">
        <v>14</v>
      </c>
      <c r="G17" t="s">
        <v>15</v>
      </c>
      <c r="H17">
        <v>6</v>
      </c>
      <c r="I17">
        <v>2200</v>
      </c>
      <c r="J17">
        <v>13200</v>
      </c>
      <c r="K17">
        <v>10824</v>
      </c>
      <c r="L17">
        <v>2376</v>
      </c>
    </row>
    <row r="18" spans="1:12" x14ac:dyDescent="0.3">
      <c r="A18" t="s">
        <v>75</v>
      </c>
      <c r="B18" t="s">
        <v>76</v>
      </c>
      <c r="C18" t="s">
        <v>77</v>
      </c>
      <c r="D18" t="s">
        <v>42</v>
      </c>
      <c r="E18" t="s">
        <v>13</v>
      </c>
      <c r="F18" t="s">
        <v>14</v>
      </c>
      <c r="G18" t="s">
        <v>26</v>
      </c>
      <c r="H18">
        <v>6</v>
      </c>
      <c r="I18">
        <v>15000</v>
      </c>
      <c r="J18">
        <v>90000</v>
      </c>
      <c r="K18">
        <v>73800</v>
      </c>
      <c r="L18">
        <v>16200</v>
      </c>
    </row>
    <row r="19" spans="1:12" x14ac:dyDescent="0.3">
      <c r="A19" t="s">
        <v>78</v>
      </c>
      <c r="B19" t="s">
        <v>79</v>
      </c>
      <c r="C19" t="s">
        <v>80</v>
      </c>
      <c r="D19" t="s">
        <v>50</v>
      </c>
      <c r="E19" t="s">
        <v>51</v>
      </c>
      <c r="F19" t="s">
        <v>25</v>
      </c>
      <c r="G19" t="s">
        <v>43</v>
      </c>
      <c r="H19">
        <v>3</v>
      </c>
      <c r="I19">
        <v>2200</v>
      </c>
      <c r="J19">
        <v>6600</v>
      </c>
      <c r="K19">
        <v>5412</v>
      </c>
      <c r="L19">
        <v>1188</v>
      </c>
    </row>
    <row r="20" spans="1:12" x14ac:dyDescent="0.3">
      <c r="A20" t="s">
        <v>81</v>
      </c>
      <c r="B20" t="s">
        <v>82</v>
      </c>
      <c r="C20" t="s">
        <v>83</v>
      </c>
      <c r="D20" t="s">
        <v>34</v>
      </c>
      <c r="E20" t="s">
        <v>24</v>
      </c>
      <c r="F20" t="s">
        <v>52</v>
      </c>
      <c r="G20" t="s">
        <v>84</v>
      </c>
      <c r="H20">
        <v>4</v>
      </c>
      <c r="I20">
        <v>3000</v>
      </c>
      <c r="J20">
        <v>12000</v>
      </c>
      <c r="K20">
        <v>9840</v>
      </c>
      <c r="L20">
        <v>2160</v>
      </c>
    </row>
    <row r="21" spans="1:12" x14ac:dyDescent="0.3">
      <c r="A21" t="s">
        <v>85</v>
      </c>
      <c r="B21" t="s">
        <v>86</v>
      </c>
      <c r="C21" t="s">
        <v>87</v>
      </c>
      <c r="D21" t="s">
        <v>12</v>
      </c>
      <c r="E21" t="s">
        <v>13</v>
      </c>
      <c r="F21" t="s">
        <v>38</v>
      </c>
      <c r="G21" t="s">
        <v>84</v>
      </c>
      <c r="H21">
        <v>6</v>
      </c>
      <c r="I21">
        <v>50000</v>
      </c>
      <c r="J21">
        <v>300000</v>
      </c>
      <c r="K21">
        <v>245999</v>
      </c>
      <c r="L21">
        <v>54001</v>
      </c>
    </row>
    <row r="22" spans="1:12" x14ac:dyDescent="0.3">
      <c r="A22" t="s">
        <v>88</v>
      </c>
      <c r="B22" t="s">
        <v>89</v>
      </c>
      <c r="C22" t="s">
        <v>90</v>
      </c>
      <c r="D22" t="s">
        <v>50</v>
      </c>
      <c r="E22" t="s">
        <v>51</v>
      </c>
      <c r="F22" t="s">
        <v>38</v>
      </c>
      <c r="G22" t="s">
        <v>15</v>
      </c>
      <c r="H22">
        <v>1</v>
      </c>
      <c r="I22">
        <v>2200</v>
      </c>
      <c r="J22">
        <v>2200</v>
      </c>
      <c r="K22">
        <v>1804</v>
      </c>
      <c r="L22">
        <v>396</v>
      </c>
    </row>
    <row r="23" spans="1:12" x14ac:dyDescent="0.3">
      <c r="A23" t="s">
        <v>91</v>
      </c>
      <c r="B23" t="s">
        <v>92</v>
      </c>
      <c r="C23" t="s">
        <v>93</v>
      </c>
      <c r="D23" t="s">
        <v>59</v>
      </c>
      <c r="E23" t="s">
        <v>24</v>
      </c>
      <c r="F23" t="s">
        <v>14</v>
      </c>
      <c r="G23" t="s">
        <v>19</v>
      </c>
      <c r="H23">
        <v>1</v>
      </c>
      <c r="I23">
        <v>1500</v>
      </c>
      <c r="J23">
        <v>1500</v>
      </c>
      <c r="K23">
        <v>1230</v>
      </c>
      <c r="L23">
        <v>270</v>
      </c>
    </row>
    <row r="24" spans="1:12" x14ac:dyDescent="0.3">
      <c r="A24" t="s">
        <v>94</v>
      </c>
      <c r="B24" t="s">
        <v>95</v>
      </c>
      <c r="C24" t="s">
        <v>96</v>
      </c>
      <c r="D24" t="s">
        <v>30</v>
      </c>
      <c r="E24" t="s">
        <v>13</v>
      </c>
      <c r="F24" t="s">
        <v>14</v>
      </c>
      <c r="G24" t="s">
        <v>26</v>
      </c>
      <c r="H24">
        <v>9</v>
      </c>
      <c r="I24">
        <v>12000</v>
      </c>
      <c r="J24">
        <v>108000</v>
      </c>
      <c r="K24">
        <v>88560</v>
      </c>
      <c r="L24">
        <v>19440</v>
      </c>
    </row>
    <row r="25" spans="1:12" x14ac:dyDescent="0.3">
      <c r="A25" t="s">
        <v>97</v>
      </c>
      <c r="B25" t="s">
        <v>98</v>
      </c>
      <c r="C25" t="s">
        <v>99</v>
      </c>
      <c r="D25" t="s">
        <v>42</v>
      </c>
      <c r="E25" t="s">
        <v>13</v>
      </c>
      <c r="F25" t="s">
        <v>25</v>
      </c>
      <c r="G25" t="s">
        <v>43</v>
      </c>
      <c r="H25">
        <v>2</v>
      </c>
      <c r="I25">
        <v>15000</v>
      </c>
      <c r="J25">
        <v>30000</v>
      </c>
      <c r="K25">
        <v>24600</v>
      </c>
      <c r="L25">
        <v>5400</v>
      </c>
    </row>
    <row r="26" spans="1:12" x14ac:dyDescent="0.3">
      <c r="A26" t="s">
        <v>100</v>
      </c>
      <c r="B26" t="s">
        <v>101</v>
      </c>
      <c r="C26" t="s">
        <v>102</v>
      </c>
      <c r="D26" t="s">
        <v>34</v>
      </c>
      <c r="E26" t="s">
        <v>24</v>
      </c>
      <c r="F26" t="s">
        <v>14</v>
      </c>
      <c r="G26" t="s">
        <v>19</v>
      </c>
      <c r="H26">
        <v>8</v>
      </c>
      <c r="I26">
        <v>3000</v>
      </c>
      <c r="J26">
        <v>24000</v>
      </c>
      <c r="K26">
        <v>19680</v>
      </c>
      <c r="L26">
        <v>4320</v>
      </c>
    </row>
    <row r="27" spans="1:12" x14ac:dyDescent="0.3">
      <c r="A27" t="s">
        <v>103</v>
      </c>
      <c r="B27" t="s">
        <v>104</v>
      </c>
      <c r="C27" t="s">
        <v>105</v>
      </c>
      <c r="D27" t="s">
        <v>106</v>
      </c>
      <c r="E27" t="s">
        <v>107</v>
      </c>
      <c r="F27" t="s">
        <v>38</v>
      </c>
      <c r="G27" t="s">
        <v>15</v>
      </c>
      <c r="H27">
        <v>2</v>
      </c>
      <c r="I27">
        <v>6500</v>
      </c>
      <c r="J27">
        <v>13000</v>
      </c>
      <c r="K27">
        <v>10660</v>
      </c>
      <c r="L27">
        <v>2340</v>
      </c>
    </row>
    <row r="28" spans="1:12" x14ac:dyDescent="0.3">
      <c r="A28" t="s">
        <v>108</v>
      </c>
      <c r="B28" t="s">
        <v>109</v>
      </c>
      <c r="C28" t="s">
        <v>110</v>
      </c>
      <c r="D28" t="s">
        <v>42</v>
      </c>
      <c r="E28" t="s">
        <v>13</v>
      </c>
      <c r="F28" t="s">
        <v>14</v>
      </c>
      <c r="G28" t="s">
        <v>43</v>
      </c>
      <c r="H28">
        <v>9</v>
      </c>
      <c r="I28">
        <v>15000</v>
      </c>
      <c r="J28">
        <v>135000</v>
      </c>
      <c r="K28">
        <v>110700</v>
      </c>
      <c r="L28">
        <v>24300</v>
      </c>
    </row>
    <row r="29" spans="1:12" x14ac:dyDescent="0.3">
      <c r="A29" t="s">
        <v>111</v>
      </c>
      <c r="B29" t="s">
        <v>112</v>
      </c>
      <c r="C29" t="s">
        <v>113</v>
      </c>
      <c r="D29" t="s">
        <v>23</v>
      </c>
      <c r="E29" t="s">
        <v>24</v>
      </c>
      <c r="F29" t="s">
        <v>25</v>
      </c>
      <c r="G29" t="s">
        <v>84</v>
      </c>
      <c r="H29">
        <v>10</v>
      </c>
      <c r="I29">
        <v>800</v>
      </c>
      <c r="J29">
        <v>8000</v>
      </c>
      <c r="K29">
        <v>6560</v>
      </c>
      <c r="L29">
        <v>1440</v>
      </c>
    </row>
    <row r="30" spans="1:12" x14ac:dyDescent="0.3">
      <c r="A30" t="s">
        <v>114</v>
      </c>
      <c r="B30" t="s">
        <v>115</v>
      </c>
      <c r="C30" t="s">
        <v>116</v>
      </c>
      <c r="D30" t="s">
        <v>12</v>
      </c>
      <c r="E30" t="s">
        <v>13</v>
      </c>
      <c r="F30" t="s">
        <v>25</v>
      </c>
      <c r="G30" t="s">
        <v>15</v>
      </c>
      <c r="H30">
        <v>2</v>
      </c>
      <c r="I30">
        <v>50000</v>
      </c>
      <c r="J30">
        <v>100000</v>
      </c>
      <c r="K30">
        <v>82000</v>
      </c>
      <c r="L30">
        <v>18000</v>
      </c>
    </row>
    <row r="31" spans="1:12" x14ac:dyDescent="0.3">
      <c r="A31" t="s">
        <v>117</v>
      </c>
      <c r="B31" t="s">
        <v>118</v>
      </c>
      <c r="C31" t="s">
        <v>119</v>
      </c>
      <c r="D31" t="s">
        <v>23</v>
      </c>
      <c r="E31" t="s">
        <v>24</v>
      </c>
      <c r="F31" t="s">
        <v>25</v>
      </c>
      <c r="G31" t="s">
        <v>43</v>
      </c>
      <c r="H31">
        <v>4</v>
      </c>
      <c r="I31">
        <v>800</v>
      </c>
      <c r="J31">
        <v>3200</v>
      </c>
      <c r="K31">
        <v>2624</v>
      </c>
      <c r="L31">
        <v>576</v>
      </c>
    </row>
    <row r="32" spans="1:12" x14ac:dyDescent="0.3">
      <c r="A32" t="s">
        <v>120</v>
      </c>
      <c r="B32" t="s">
        <v>121</v>
      </c>
      <c r="C32" t="s">
        <v>122</v>
      </c>
      <c r="D32" t="s">
        <v>34</v>
      </c>
      <c r="E32" t="s">
        <v>24</v>
      </c>
      <c r="F32" t="s">
        <v>25</v>
      </c>
      <c r="G32" t="s">
        <v>26</v>
      </c>
      <c r="H32">
        <v>8</v>
      </c>
      <c r="I32">
        <v>3000</v>
      </c>
      <c r="J32">
        <v>24000</v>
      </c>
      <c r="K32">
        <v>19680</v>
      </c>
      <c r="L32">
        <v>4320</v>
      </c>
    </row>
    <row r="33" spans="1:12" x14ac:dyDescent="0.3">
      <c r="A33" t="s">
        <v>123</v>
      </c>
      <c r="B33" t="s">
        <v>124</v>
      </c>
      <c r="C33" t="s">
        <v>125</v>
      </c>
      <c r="D33" t="s">
        <v>23</v>
      </c>
      <c r="E33" t="s">
        <v>24</v>
      </c>
      <c r="F33" t="s">
        <v>38</v>
      </c>
      <c r="G33" t="s">
        <v>26</v>
      </c>
      <c r="H33">
        <v>2</v>
      </c>
      <c r="I33">
        <v>800</v>
      </c>
      <c r="J33">
        <v>1600</v>
      </c>
      <c r="K33">
        <v>1312</v>
      </c>
      <c r="L33">
        <v>288</v>
      </c>
    </row>
    <row r="34" spans="1:12" x14ac:dyDescent="0.3">
      <c r="A34" t="s">
        <v>126</v>
      </c>
      <c r="B34" t="s">
        <v>127</v>
      </c>
      <c r="C34" t="s">
        <v>128</v>
      </c>
      <c r="D34" t="s">
        <v>42</v>
      </c>
      <c r="E34" t="s">
        <v>13</v>
      </c>
      <c r="F34" t="s">
        <v>52</v>
      </c>
      <c r="G34" t="s">
        <v>15</v>
      </c>
      <c r="H34">
        <v>5</v>
      </c>
      <c r="I34">
        <v>15000</v>
      </c>
      <c r="J34">
        <v>75000</v>
      </c>
      <c r="K34">
        <v>61499</v>
      </c>
      <c r="L34">
        <v>13501</v>
      </c>
    </row>
    <row r="35" spans="1:12" x14ac:dyDescent="0.3">
      <c r="A35" t="s">
        <v>129</v>
      </c>
      <c r="B35" t="s">
        <v>130</v>
      </c>
      <c r="C35" t="s">
        <v>131</v>
      </c>
      <c r="D35" t="s">
        <v>23</v>
      </c>
      <c r="E35" t="s">
        <v>24</v>
      </c>
      <c r="F35" t="s">
        <v>14</v>
      </c>
      <c r="G35" t="s">
        <v>15</v>
      </c>
      <c r="H35">
        <v>6</v>
      </c>
      <c r="I35">
        <v>800</v>
      </c>
      <c r="J35">
        <v>4800</v>
      </c>
      <c r="K35">
        <v>3935</v>
      </c>
      <c r="L35">
        <v>865</v>
      </c>
    </row>
    <row r="36" spans="1:12" x14ac:dyDescent="0.3">
      <c r="A36" t="s">
        <v>132</v>
      </c>
      <c r="B36" t="s">
        <v>133</v>
      </c>
      <c r="C36" t="s">
        <v>134</v>
      </c>
      <c r="D36" t="s">
        <v>34</v>
      </c>
      <c r="E36" t="s">
        <v>24</v>
      </c>
      <c r="F36" t="s">
        <v>52</v>
      </c>
      <c r="G36" t="s">
        <v>84</v>
      </c>
      <c r="H36">
        <v>2</v>
      </c>
      <c r="I36">
        <v>3000</v>
      </c>
      <c r="J36">
        <v>6000</v>
      </c>
      <c r="K36">
        <v>4920</v>
      </c>
      <c r="L36">
        <v>1080</v>
      </c>
    </row>
    <row r="37" spans="1:12" x14ac:dyDescent="0.3">
      <c r="A37" t="s">
        <v>135</v>
      </c>
      <c r="B37" t="s">
        <v>136</v>
      </c>
      <c r="C37" t="s">
        <v>137</v>
      </c>
      <c r="D37" t="s">
        <v>34</v>
      </c>
      <c r="E37" t="s">
        <v>24</v>
      </c>
      <c r="F37" t="s">
        <v>14</v>
      </c>
      <c r="G37" t="s">
        <v>43</v>
      </c>
      <c r="H37">
        <v>8</v>
      </c>
      <c r="I37">
        <v>3000</v>
      </c>
      <c r="J37">
        <v>24000</v>
      </c>
      <c r="K37">
        <v>19680</v>
      </c>
      <c r="L37">
        <v>4320</v>
      </c>
    </row>
    <row r="38" spans="1:12" x14ac:dyDescent="0.3">
      <c r="A38" t="s">
        <v>138</v>
      </c>
      <c r="B38" t="s">
        <v>139</v>
      </c>
      <c r="C38" t="s">
        <v>140</v>
      </c>
      <c r="D38" t="s">
        <v>59</v>
      </c>
      <c r="E38" t="s">
        <v>24</v>
      </c>
      <c r="F38" t="s">
        <v>25</v>
      </c>
      <c r="G38" t="s">
        <v>43</v>
      </c>
      <c r="H38">
        <v>5</v>
      </c>
      <c r="I38">
        <v>1500</v>
      </c>
      <c r="J38">
        <v>7500</v>
      </c>
      <c r="K38">
        <v>6150</v>
      </c>
      <c r="L38">
        <v>1350</v>
      </c>
    </row>
    <row r="39" spans="1:12" x14ac:dyDescent="0.3">
      <c r="A39" t="s">
        <v>141</v>
      </c>
      <c r="B39" t="s">
        <v>142</v>
      </c>
      <c r="C39" t="s">
        <v>143</v>
      </c>
      <c r="D39" t="s">
        <v>30</v>
      </c>
      <c r="E39" t="s">
        <v>13</v>
      </c>
      <c r="F39" t="s">
        <v>52</v>
      </c>
      <c r="G39" t="s">
        <v>15</v>
      </c>
      <c r="H39">
        <v>10</v>
      </c>
      <c r="I39">
        <v>12000</v>
      </c>
      <c r="J39">
        <v>120000</v>
      </c>
      <c r="K39">
        <v>98400</v>
      </c>
      <c r="L39">
        <v>21600</v>
      </c>
    </row>
    <row r="40" spans="1:12" x14ac:dyDescent="0.3">
      <c r="A40" t="s">
        <v>144</v>
      </c>
      <c r="B40" t="s">
        <v>145</v>
      </c>
      <c r="C40" t="s">
        <v>146</v>
      </c>
      <c r="D40" t="s">
        <v>106</v>
      </c>
      <c r="E40" t="s">
        <v>107</v>
      </c>
      <c r="F40" t="s">
        <v>14</v>
      </c>
      <c r="G40" t="s">
        <v>15</v>
      </c>
      <c r="H40">
        <v>6</v>
      </c>
      <c r="I40">
        <v>6500</v>
      </c>
      <c r="J40">
        <v>39000</v>
      </c>
      <c r="K40">
        <v>31979</v>
      </c>
      <c r="L40">
        <v>7021</v>
      </c>
    </row>
    <row r="41" spans="1:12" x14ac:dyDescent="0.3">
      <c r="A41" t="s">
        <v>147</v>
      </c>
      <c r="B41" t="s">
        <v>148</v>
      </c>
      <c r="C41" t="s">
        <v>149</v>
      </c>
      <c r="D41" t="s">
        <v>59</v>
      </c>
      <c r="E41" t="s">
        <v>24</v>
      </c>
      <c r="F41" t="s">
        <v>25</v>
      </c>
      <c r="G41" t="s">
        <v>19</v>
      </c>
      <c r="H41">
        <v>2</v>
      </c>
      <c r="I41">
        <v>1500</v>
      </c>
      <c r="J41">
        <v>3000</v>
      </c>
      <c r="K41">
        <v>2460</v>
      </c>
      <c r="L41">
        <v>540</v>
      </c>
    </row>
    <row r="42" spans="1:12" x14ac:dyDescent="0.3">
      <c r="A42" t="s">
        <v>150</v>
      </c>
      <c r="B42" t="s">
        <v>151</v>
      </c>
      <c r="C42" t="s">
        <v>152</v>
      </c>
      <c r="D42" t="s">
        <v>12</v>
      </c>
      <c r="E42" t="s">
        <v>13</v>
      </c>
      <c r="F42" t="s">
        <v>25</v>
      </c>
      <c r="G42" t="s">
        <v>84</v>
      </c>
      <c r="H42">
        <v>8</v>
      </c>
      <c r="I42">
        <v>50000</v>
      </c>
      <c r="J42">
        <v>400000</v>
      </c>
      <c r="K42">
        <v>328000</v>
      </c>
      <c r="L42">
        <v>72000</v>
      </c>
    </row>
    <row r="43" spans="1:12" x14ac:dyDescent="0.3">
      <c r="A43" t="s">
        <v>153</v>
      </c>
      <c r="B43" t="s">
        <v>154</v>
      </c>
      <c r="C43" t="s">
        <v>155</v>
      </c>
      <c r="D43" t="s">
        <v>106</v>
      </c>
      <c r="E43" t="s">
        <v>107</v>
      </c>
      <c r="F43" t="s">
        <v>38</v>
      </c>
      <c r="G43" t="s">
        <v>15</v>
      </c>
      <c r="H43">
        <v>1</v>
      </c>
      <c r="I43">
        <v>6500</v>
      </c>
      <c r="J43">
        <v>6500</v>
      </c>
      <c r="K43">
        <v>5330</v>
      </c>
      <c r="L43">
        <v>1170</v>
      </c>
    </row>
    <row r="44" spans="1:12" x14ac:dyDescent="0.3">
      <c r="A44" t="s">
        <v>156</v>
      </c>
      <c r="B44" t="s">
        <v>157</v>
      </c>
      <c r="C44" t="s">
        <v>158</v>
      </c>
      <c r="D44" t="s">
        <v>12</v>
      </c>
      <c r="E44" t="s">
        <v>13</v>
      </c>
      <c r="F44" t="s">
        <v>14</v>
      </c>
      <c r="G44" t="s">
        <v>19</v>
      </c>
      <c r="H44">
        <v>8</v>
      </c>
      <c r="I44">
        <v>50000</v>
      </c>
      <c r="J44">
        <v>400000</v>
      </c>
      <c r="K44">
        <v>328000</v>
      </c>
      <c r="L44">
        <v>72000</v>
      </c>
    </row>
    <row r="45" spans="1:12" x14ac:dyDescent="0.3">
      <c r="A45" t="s">
        <v>159</v>
      </c>
      <c r="B45" t="s">
        <v>160</v>
      </c>
      <c r="C45" t="s">
        <v>161</v>
      </c>
      <c r="D45" t="s">
        <v>30</v>
      </c>
      <c r="E45" t="s">
        <v>13</v>
      </c>
      <c r="F45" t="s">
        <v>38</v>
      </c>
      <c r="G45" t="s">
        <v>19</v>
      </c>
      <c r="H45">
        <v>10</v>
      </c>
      <c r="I45">
        <v>12000</v>
      </c>
      <c r="J45">
        <v>120000</v>
      </c>
      <c r="K45">
        <v>98400</v>
      </c>
      <c r="L45">
        <v>21600</v>
      </c>
    </row>
    <row r="46" spans="1:12" x14ac:dyDescent="0.3">
      <c r="A46" t="s">
        <v>162</v>
      </c>
      <c r="B46" t="s">
        <v>163</v>
      </c>
      <c r="C46" t="s">
        <v>164</v>
      </c>
      <c r="D46" t="s">
        <v>34</v>
      </c>
      <c r="E46" t="s">
        <v>24</v>
      </c>
      <c r="F46" t="s">
        <v>52</v>
      </c>
      <c r="G46" t="s">
        <v>26</v>
      </c>
      <c r="H46">
        <v>10</v>
      </c>
      <c r="I46">
        <v>3000</v>
      </c>
      <c r="J46">
        <v>30000</v>
      </c>
      <c r="K46">
        <v>24600</v>
      </c>
      <c r="L46">
        <v>5400</v>
      </c>
    </row>
    <row r="47" spans="1:12" x14ac:dyDescent="0.3">
      <c r="A47" t="s">
        <v>165</v>
      </c>
      <c r="B47" t="s">
        <v>166</v>
      </c>
      <c r="C47" t="s">
        <v>167</v>
      </c>
      <c r="D47" t="s">
        <v>34</v>
      </c>
      <c r="E47" t="s">
        <v>24</v>
      </c>
      <c r="F47" t="s">
        <v>38</v>
      </c>
      <c r="G47" t="s">
        <v>19</v>
      </c>
      <c r="H47">
        <v>10</v>
      </c>
      <c r="I47">
        <v>3000</v>
      </c>
      <c r="J47">
        <v>30000</v>
      </c>
      <c r="K47">
        <v>24600</v>
      </c>
      <c r="L47">
        <v>5400</v>
      </c>
    </row>
    <row r="48" spans="1:12" x14ac:dyDescent="0.3">
      <c r="A48" t="s">
        <v>168</v>
      </c>
      <c r="B48" t="s">
        <v>169</v>
      </c>
      <c r="C48" t="s">
        <v>170</v>
      </c>
      <c r="D48" t="s">
        <v>30</v>
      </c>
      <c r="E48" t="s">
        <v>13</v>
      </c>
      <c r="F48" t="s">
        <v>25</v>
      </c>
      <c r="G48" t="s">
        <v>84</v>
      </c>
      <c r="H48">
        <v>9</v>
      </c>
      <c r="I48">
        <v>12000</v>
      </c>
      <c r="J48">
        <v>108000</v>
      </c>
      <c r="K48">
        <v>88560</v>
      </c>
      <c r="L48">
        <v>19440</v>
      </c>
    </row>
    <row r="49" spans="1:12" x14ac:dyDescent="0.3">
      <c r="A49" t="s">
        <v>171</v>
      </c>
      <c r="B49" t="s">
        <v>172</v>
      </c>
      <c r="C49" t="s">
        <v>173</v>
      </c>
      <c r="D49" t="s">
        <v>34</v>
      </c>
      <c r="E49" t="s">
        <v>24</v>
      </c>
      <c r="F49" t="s">
        <v>14</v>
      </c>
      <c r="G49" t="s">
        <v>19</v>
      </c>
      <c r="H49">
        <v>2</v>
      </c>
      <c r="I49">
        <v>3000</v>
      </c>
      <c r="J49">
        <v>6000</v>
      </c>
      <c r="K49">
        <v>4920</v>
      </c>
      <c r="L49">
        <v>1080</v>
      </c>
    </row>
    <row r="50" spans="1:12" x14ac:dyDescent="0.3">
      <c r="A50" t="s">
        <v>174</v>
      </c>
      <c r="B50" t="s">
        <v>175</v>
      </c>
      <c r="C50" t="s">
        <v>176</v>
      </c>
      <c r="D50" t="s">
        <v>12</v>
      </c>
      <c r="E50" t="s">
        <v>13</v>
      </c>
      <c r="F50" t="s">
        <v>14</v>
      </c>
      <c r="G50" t="s">
        <v>43</v>
      </c>
      <c r="H50">
        <v>3</v>
      </c>
      <c r="I50">
        <v>50000</v>
      </c>
      <c r="J50">
        <v>150000</v>
      </c>
      <c r="K50">
        <v>122999</v>
      </c>
      <c r="L50">
        <v>27001</v>
      </c>
    </row>
    <row r="51" spans="1:12" x14ac:dyDescent="0.3">
      <c r="A51" t="s">
        <v>177</v>
      </c>
      <c r="B51" t="s">
        <v>178</v>
      </c>
      <c r="C51" t="s">
        <v>179</v>
      </c>
      <c r="D51" t="s">
        <v>59</v>
      </c>
      <c r="E51" t="s">
        <v>24</v>
      </c>
      <c r="F51" t="s">
        <v>38</v>
      </c>
      <c r="G51" t="s">
        <v>15</v>
      </c>
      <c r="H51">
        <v>10</v>
      </c>
      <c r="I51">
        <v>1500</v>
      </c>
      <c r="J51">
        <v>15000</v>
      </c>
      <c r="K51">
        <v>12300</v>
      </c>
      <c r="L51">
        <v>2700</v>
      </c>
    </row>
    <row r="52" spans="1:12" x14ac:dyDescent="0.3">
      <c r="A52" t="s">
        <v>180</v>
      </c>
      <c r="B52" t="s">
        <v>181</v>
      </c>
      <c r="C52" t="s">
        <v>182</v>
      </c>
      <c r="D52" t="s">
        <v>23</v>
      </c>
      <c r="E52" t="s">
        <v>24</v>
      </c>
      <c r="F52" t="s">
        <v>52</v>
      </c>
      <c r="G52" t="s">
        <v>15</v>
      </c>
      <c r="H52">
        <v>4</v>
      </c>
      <c r="I52">
        <v>800</v>
      </c>
      <c r="J52">
        <v>3200</v>
      </c>
      <c r="K52">
        <v>2624</v>
      </c>
      <c r="L52">
        <v>576</v>
      </c>
    </row>
    <row r="53" spans="1:12" x14ac:dyDescent="0.3">
      <c r="A53" t="s">
        <v>183</v>
      </c>
      <c r="B53" t="s">
        <v>184</v>
      </c>
      <c r="C53" t="s">
        <v>185</v>
      </c>
      <c r="D53" t="s">
        <v>34</v>
      </c>
      <c r="E53" t="s">
        <v>24</v>
      </c>
      <c r="F53" t="s">
        <v>52</v>
      </c>
      <c r="G53" t="s">
        <v>15</v>
      </c>
      <c r="H53">
        <v>10</v>
      </c>
      <c r="I53">
        <v>3000</v>
      </c>
      <c r="J53">
        <v>30000</v>
      </c>
      <c r="K53">
        <v>24600</v>
      </c>
      <c r="L53">
        <v>5400</v>
      </c>
    </row>
    <row r="54" spans="1:12" x14ac:dyDescent="0.3">
      <c r="A54" t="s">
        <v>186</v>
      </c>
      <c r="B54" t="s">
        <v>187</v>
      </c>
      <c r="C54" t="s">
        <v>188</v>
      </c>
      <c r="D54" t="s">
        <v>34</v>
      </c>
      <c r="E54" t="s">
        <v>24</v>
      </c>
      <c r="F54" t="s">
        <v>25</v>
      </c>
      <c r="G54" t="s">
        <v>43</v>
      </c>
      <c r="H54">
        <v>8</v>
      </c>
      <c r="I54">
        <v>3000</v>
      </c>
      <c r="J54">
        <v>24000</v>
      </c>
      <c r="K54">
        <v>19680</v>
      </c>
      <c r="L54">
        <v>4320</v>
      </c>
    </row>
    <row r="55" spans="1:12" x14ac:dyDescent="0.3">
      <c r="A55" t="s">
        <v>189</v>
      </c>
      <c r="B55" t="s">
        <v>190</v>
      </c>
      <c r="C55" t="s">
        <v>191</v>
      </c>
      <c r="D55" t="s">
        <v>30</v>
      </c>
      <c r="E55" t="s">
        <v>13</v>
      </c>
      <c r="F55" t="s">
        <v>38</v>
      </c>
      <c r="G55" t="s">
        <v>43</v>
      </c>
      <c r="H55">
        <v>10</v>
      </c>
      <c r="I55">
        <v>12000</v>
      </c>
      <c r="J55">
        <v>120000</v>
      </c>
      <c r="K55">
        <v>98400</v>
      </c>
      <c r="L55">
        <v>21600</v>
      </c>
    </row>
    <row r="56" spans="1:12" x14ac:dyDescent="0.3">
      <c r="A56" t="s">
        <v>192</v>
      </c>
      <c r="B56" t="s">
        <v>193</v>
      </c>
      <c r="C56" t="s">
        <v>194</v>
      </c>
      <c r="D56" t="s">
        <v>59</v>
      </c>
      <c r="E56" t="s">
        <v>24</v>
      </c>
      <c r="F56" t="s">
        <v>25</v>
      </c>
      <c r="G56" t="s">
        <v>15</v>
      </c>
      <c r="H56">
        <v>8</v>
      </c>
      <c r="I56">
        <v>1500</v>
      </c>
      <c r="J56">
        <v>12000</v>
      </c>
      <c r="K56">
        <v>9840</v>
      </c>
      <c r="L56">
        <v>2160</v>
      </c>
    </row>
    <row r="57" spans="1:12" x14ac:dyDescent="0.3">
      <c r="A57" t="s">
        <v>195</v>
      </c>
      <c r="B57" t="s">
        <v>196</v>
      </c>
      <c r="C57" t="s">
        <v>197</v>
      </c>
      <c r="D57" t="s">
        <v>42</v>
      </c>
      <c r="E57" t="s">
        <v>13</v>
      </c>
      <c r="F57" t="s">
        <v>25</v>
      </c>
      <c r="G57" t="s">
        <v>19</v>
      </c>
      <c r="H57">
        <v>8</v>
      </c>
      <c r="I57">
        <v>15000</v>
      </c>
      <c r="J57">
        <v>120000</v>
      </c>
      <c r="K57">
        <v>98400</v>
      </c>
      <c r="L57">
        <v>21600</v>
      </c>
    </row>
    <row r="58" spans="1:12" x14ac:dyDescent="0.3">
      <c r="A58" t="s">
        <v>198</v>
      </c>
      <c r="B58" t="s">
        <v>199</v>
      </c>
      <c r="C58" t="s">
        <v>200</v>
      </c>
      <c r="D58" t="s">
        <v>106</v>
      </c>
      <c r="E58" t="s">
        <v>107</v>
      </c>
      <c r="F58" t="s">
        <v>14</v>
      </c>
      <c r="G58" t="s">
        <v>84</v>
      </c>
      <c r="H58">
        <v>5</v>
      </c>
      <c r="I58">
        <v>6500</v>
      </c>
      <c r="J58">
        <v>32500</v>
      </c>
      <c r="K58">
        <v>26650</v>
      </c>
      <c r="L58">
        <v>5850</v>
      </c>
    </row>
    <row r="59" spans="1:12" x14ac:dyDescent="0.3">
      <c r="A59" t="s">
        <v>201</v>
      </c>
      <c r="B59" t="s">
        <v>202</v>
      </c>
      <c r="C59" t="s">
        <v>203</v>
      </c>
      <c r="D59" t="s">
        <v>42</v>
      </c>
      <c r="E59" t="s">
        <v>13</v>
      </c>
      <c r="F59" t="s">
        <v>14</v>
      </c>
      <c r="G59" t="s">
        <v>43</v>
      </c>
      <c r="H59">
        <v>3</v>
      </c>
      <c r="I59">
        <v>15000</v>
      </c>
      <c r="J59">
        <v>45000</v>
      </c>
      <c r="K59">
        <v>36900</v>
      </c>
      <c r="L59">
        <v>8100</v>
      </c>
    </row>
    <row r="60" spans="1:12" x14ac:dyDescent="0.3">
      <c r="A60" t="s">
        <v>204</v>
      </c>
      <c r="B60" t="s">
        <v>205</v>
      </c>
      <c r="C60" t="s">
        <v>206</v>
      </c>
      <c r="D60" t="s">
        <v>106</v>
      </c>
      <c r="E60" t="s">
        <v>107</v>
      </c>
      <c r="F60" t="s">
        <v>14</v>
      </c>
      <c r="G60" t="s">
        <v>26</v>
      </c>
      <c r="H60">
        <v>3</v>
      </c>
      <c r="I60">
        <v>6500</v>
      </c>
      <c r="J60">
        <v>19500</v>
      </c>
      <c r="K60">
        <v>15989</v>
      </c>
      <c r="L60">
        <v>3511</v>
      </c>
    </row>
    <row r="61" spans="1:12" x14ac:dyDescent="0.3">
      <c r="A61" t="s">
        <v>207</v>
      </c>
      <c r="B61" t="s">
        <v>208</v>
      </c>
      <c r="C61" t="s">
        <v>209</v>
      </c>
      <c r="D61" t="s">
        <v>30</v>
      </c>
      <c r="E61" t="s">
        <v>13</v>
      </c>
      <c r="F61" t="s">
        <v>52</v>
      </c>
      <c r="G61" t="s">
        <v>15</v>
      </c>
      <c r="H61">
        <v>5</v>
      </c>
      <c r="I61">
        <v>12000</v>
      </c>
      <c r="J61">
        <v>60000</v>
      </c>
      <c r="K61">
        <v>49200</v>
      </c>
      <c r="L61">
        <v>10800</v>
      </c>
    </row>
    <row r="62" spans="1:12" x14ac:dyDescent="0.3">
      <c r="A62" t="s">
        <v>210</v>
      </c>
      <c r="B62" t="s">
        <v>211</v>
      </c>
      <c r="C62" t="s">
        <v>212</v>
      </c>
      <c r="D62" t="s">
        <v>50</v>
      </c>
      <c r="E62" t="s">
        <v>51</v>
      </c>
      <c r="F62" t="s">
        <v>38</v>
      </c>
      <c r="G62" t="s">
        <v>19</v>
      </c>
      <c r="H62">
        <v>10</v>
      </c>
      <c r="I62">
        <v>2200</v>
      </c>
      <c r="J62">
        <v>22000</v>
      </c>
      <c r="K62">
        <v>18040</v>
      </c>
      <c r="L62">
        <v>3960</v>
      </c>
    </row>
    <row r="63" spans="1:12" x14ac:dyDescent="0.3">
      <c r="A63" t="s">
        <v>213</v>
      </c>
      <c r="B63" t="s">
        <v>214</v>
      </c>
      <c r="C63" t="s">
        <v>215</v>
      </c>
      <c r="D63" t="s">
        <v>42</v>
      </c>
      <c r="E63" t="s">
        <v>13</v>
      </c>
      <c r="F63" t="s">
        <v>52</v>
      </c>
      <c r="G63" t="s">
        <v>19</v>
      </c>
      <c r="H63">
        <v>3</v>
      </c>
      <c r="I63">
        <v>15000</v>
      </c>
      <c r="J63">
        <v>45000</v>
      </c>
      <c r="K63">
        <v>36900</v>
      </c>
      <c r="L63">
        <v>8100</v>
      </c>
    </row>
    <row r="64" spans="1:12" x14ac:dyDescent="0.3">
      <c r="A64" t="s">
        <v>216</v>
      </c>
      <c r="B64" t="s">
        <v>217</v>
      </c>
      <c r="C64" t="s">
        <v>218</v>
      </c>
      <c r="D64" t="s">
        <v>59</v>
      </c>
      <c r="E64" t="s">
        <v>24</v>
      </c>
      <c r="F64" t="s">
        <v>52</v>
      </c>
      <c r="G64" t="s">
        <v>19</v>
      </c>
      <c r="H64">
        <v>3</v>
      </c>
      <c r="I64">
        <v>1500</v>
      </c>
      <c r="J64">
        <v>4500</v>
      </c>
      <c r="K64">
        <v>3690</v>
      </c>
      <c r="L64">
        <v>810</v>
      </c>
    </row>
    <row r="65" spans="1:12" x14ac:dyDescent="0.3">
      <c r="A65" t="s">
        <v>219</v>
      </c>
      <c r="B65" t="s">
        <v>220</v>
      </c>
      <c r="C65" t="s">
        <v>221</v>
      </c>
      <c r="D65" t="s">
        <v>34</v>
      </c>
      <c r="E65" t="s">
        <v>24</v>
      </c>
      <c r="F65" t="s">
        <v>25</v>
      </c>
      <c r="G65" t="s">
        <v>84</v>
      </c>
      <c r="H65">
        <v>5</v>
      </c>
      <c r="I65">
        <v>3000</v>
      </c>
      <c r="J65">
        <v>15000</v>
      </c>
      <c r="K65">
        <v>12300</v>
      </c>
      <c r="L65">
        <v>2700</v>
      </c>
    </row>
    <row r="66" spans="1:12" x14ac:dyDescent="0.3">
      <c r="A66" t="s">
        <v>222</v>
      </c>
      <c r="B66" t="s">
        <v>223</v>
      </c>
      <c r="C66" t="s">
        <v>224</v>
      </c>
      <c r="D66" t="s">
        <v>30</v>
      </c>
      <c r="E66" t="s">
        <v>13</v>
      </c>
      <c r="F66" t="s">
        <v>52</v>
      </c>
      <c r="G66" t="s">
        <v>15</v>
      </c>
      <c r="H66">
        <v>3</v>
      </c>
      <c r="I66">
        <v>12000</v>
      </c>
      <c r="J66">
        <v>36000</v>
      </c>
      <c r="K66">
        <v>29520</v>
      </c>
      <c r="L66">
        <v>6480</v>
      </c>
    </row>
    <row r="67" spans="1:12" x14ac:dyDescent="0.3">
      <c r="A67" t="s">
        <v>225</v>
      </c>
      <c r="B67" t="s">
        <v>226</v>
      </c>
      <c r="C67" t="s">
        <v>227</v>
      </c>
      <c r="D67" t="s">
        <v>12</v>
      </c>
      <c r="E67" t="s">
        <v>13</v>
      </c>
      <c r="F67" t="s">
        <v>25</v>
      </c>
      <c r="G67" t="s">
        <v>84</v>
      </c>
      <c r="H67">
        <v>6</v>
      </c>
      <c r="I67">
        <v>50000</v>
      </c>
      <c r="J67">
        <v>300000</v>
      </c>
      <c r="K67">
        <v>245999</v>
      </c>
      <c r="L67">
        <v>54001</v>
      </c>
    </row>
    <row r="68" spans="1:12" x14ac:dyDescent="0.3">
      <c r="A68" t="s">
        <v>228</v>
      </c>
      <c r="B68" t="s">
        <v>229</v>
      </c>
      <c r="C68" t="s">
        <v>230</v>
      </c>
      <c r="D68" t="s">
        <v>23</v>
      </c>
      <c r="E68" t="s">
        <v>24</v>
      </c>
      <c r="F68" t="s">
        <v>14</v>
      </c>
      <c r="G68" t="s">
        <v>84</v>
      </c>
      <c r="H68">
        <v>4</v>
      </c>
      <c r="I68">
        <v>800</v>
      </c>
      <c r="J68">
        <v>3200</v>
      </c>
      <c r="K68">
        <v>2624</v>
      </c>
      <c r="L68">
        <v>576</v>
      </c>
    </row>
    <row r="69" spans="1:12" x14ac:dyDescent="0.3">
      <c r="A69" t="s">
        <v>231</v>
      </c>
      <c r="B69" t="s">
        <v>232</v>
      </c>
      <c r="C69" t="s">
        <v>233</v>
      </c>
      <c r="D69" t="s">
        <v>106</v>
      </c>
      <c r="E69" t="s">
        <v>107</v>
      </c>
      <c r="F69" t="s">
        <v>52</v>
      </c>
      <c r="G69" t="s">
        <v>19</v>
      </c>
      <c r="H69">
        <v>10</v>
      </c>
      <c r="I69">
        <v>6500</v>
      </c>
      <c r="J69">
        <v>65000</v>
      </c>
      <c r="K69">
        <v>53300</v>
      </c>
      <c r="L69">
        <v>11700</v>
      </c>
    </row>
    <row r="70" spans="1:12" x14ac:dyDescent="0.3">
      <c r="A70" t="s">
        <v>234</v>
      </c>
      <c r="B70" t="s">
        <v>235</v>
      </c>
      <c r="C70" t="s">
        <v>236</v>
      </c>
      <c r="D70" t="s">
        <v>30</v>
      </c>
      <c r="E70" t="s">
        <v>13</v>
      </c>
      <c r="F70" t="s">
        <v>14</v>
      </c>
      <c r="G70" t="s">
        <v>84</v>
      </c>
      <c r="H70">
        <v>1</v>
      </c>
      <c r="I70">
        <v>12000</v>
      </c>
      <c r="J70">
        <v>12000</v>
      </c>
      <c r="K70">
        <v>9840</v>
      </c>
      <c r="L70">
        <v>2160</v>
      </c>
    </row>
    <row r="71" spans="1:12" x14ac:dyDescent="0.3">
      <c r="A71" t="s">
        <v>237</v>
      </c>
      <c r="B71" t="s">
        <v>238</v>
      </c>
      <c r="C71" t="s">
        <v>239</v>
      </c>
      <c r="D71" t="s">
        <v>30</v>
      </c>
      <c r="E71" t="s">
        <v>13</v>
      </c>
      <c r="F71" t="s">
        <v>25</v>
      </c>
      <c r="G71" t="s">
        <v>15</v>
      </c>
      <c r="H71">
        <v>3</v>
      </c>
      <c r="I71">
        <v>12000</v>
      </c>
      <c r="J71">
        <v>36000</v>
      </c>
      <c r="K71">
        <v>29520</v>
      </c>
      <c r="L71">
        <v>6480</v>
      </c>
    </row>
    <row r="72" spans="1:12" x14ac:dyDescent="0.3">
      <c r="A72" t="s">
        <v>240</v>
      </c>
      <c r="B72" t="s">
        <v>241</v>
      </c>
      <c r="C72" t="s">
        <v>242</v>
      </c>
      <c r="D72" t="s">
        <v>59</v>
      </c>
      <c r="E72" t="s">
        <v>24</v>
      </c>
      <c r="F72" t="s">
        <v>25</v>
      </c>
      <c r="G72" t="s">
        <v>15</v>
      </c>
      <c r="H72">
        <v>2</v>
      </c>
      <c r="I72">
        <v>1500</v>
      </c>
      <c r="J72">
        <v>3000</v>
      </c>
      <c r="K72">
        <v>2460</v>
      </c>
      <c r="L72">
        <v>540</v>
      </c>
    </row>
    <row r="73" spans="1:12" x14ac:dyDescent="0.3">
      <c r="A73" t="s">
        <v>243</v>
      </c>
      <c r="B73" t="s">
        <v>244</v>
      </c>
      <c r="C73" t="s">
        <v>245</v>
      </c>
      <c r="D73" t="s">
        <v>106</v>
      </c>
      <c r="E73" t="s">
        <v>107</v>
      </c>
      <c r="F73" t="s">
        <v>38</v>
      </c>
      <c r="G73" t="s">
        <v>84</v>
      </c>
      <c r="H73">
        <v>1</v>
      </c>
      <c r="I73">
        <v>6500</v>
      </c>
      <c r="J73">
        <v>6500</v>
      </c>
      <c r="K73">
        <v>5330</v>
      </c>
      <c r="L73">
        <v>1170</v>
      </c>
    </row>
    <row r="74" spans="1:12" x14ac:dyDescent="0.3">
      <c r="A74" t="s">
        <v>246</v>
      </c>
      <c r="B74" t="s">
        <v>247</v>
      </c>
      <c r="C74" t="s">
        <v>248</v>
      </c>
      <c r="D74" t="s">
        <v>42</v>
      </c>
      <c r="E74" t="s">
        <v>13</v>
      </c>
      <c r="F74" t="s">
        <v>25</v>
      </c>
      <c r="G74" t="s">
        <v>43</v>
      </c>
      <c r="H74">
        <v>4</v>
      </c>
      <c r="I74">
        <v>15000</v>
      </c>
      <c r="J74">
        <v>60000</v>
      </c>
      <c r="K74">
        <v>49200</v>
      </c>
      <c r="L74">
        <v>10800</v>
      </c>
    </row>
    <row r="75" spans="1:12" x14ac:dyDescent="0.3">
      <c r="A75" t="s">
        <v>249</v>
      </c>
      <c r="B75" t="s">
        <v>250</v>
      </c>
      <c r="C75" t="s">
        <v>251</v>
      </c>
      <c r="D75" t="s">
        <v>106</v>
      </c>
      <c r="E75" t="s">
        <v>107</v>
      </c>
      <c r="F75" t="s">
        <v>52</v>
      </c>
      <c r="G75" t="s">
        <v>15</v>
      </c>
      <c r="H75">
        <v>5</v>
      </c>
      <c r="I75">
        <v>6500</v>
      </c>
      <c r="J75">
        <v>32500</v>
      </c>
      <c r="K75">
        <v>26650</v>
      </c>
      <c r="L75">
        <v>5850</v>
      </c>
    </row>
    <row r="76" spans="1:12" x14ac:dyDescent="0.3">
      <c r="A76" t="s">
        <v>252</v>
      </c>
      <c r="B76" t="s">
        <v>253</v>
      </c>
      <c r="C76" t="s">
        <v>254</v>
      </c>
      <c r="D76" t="s">
        <v>12</v>
      </c>
      <c r="E76" t="s">
        <v>13</v>
      </c>
      <c r="F76" t="s">
        <v>38</v>
      </c>
      <c r="G76" t="s">
        <v>19</v>
      </c>
      <c r="H76">
        <v>1</v>
      </c>
      <c r="I76">
        <v>50000</v>
      </c>
      <c r="J76">
        <v>50000</v>
      </c>
      <c r="K76">
        <v>41000</v>
      </c>
      <c r="L76">
        <v>9000</v>
      </c>
    </row>
    <row r="77" spans="1:12" x14ac:dyDescent="0.3">
      <c r="A77" t="s">
        <v>255</v>
      </c>
      <c r="B77" t="s">
        <v>256</v>
      </c>
      <c r="C77" t="s">
        <v>257</v>
      </c>
      <c r="D77" t="s">
        <v>34</v>
      </c>
      <c r="E77" t="s">
        <v>24</v>
      </c>
      <c r="F77" t="s">
        <v>52</v>
      </c>
      <c r="G77" t="s">
        <v>43</v>
      </c>
      <c r="H77">
        <v>3</v>
      </c>
      <c r="I77">
        <v>3000</v>
      </c>
      <c r="J77">
        <v>9000</v>
      </c>
      <c r="K77">
        <v>7380</v>
      </c>
      <c r="L77">
        <v>1620</v>
      </c>
    </row>
    <row r="78" spans="1:12" x14ac:dyDescent="0.3">
      <c r="A78" t="s">
        <v>258</v>
      </c>
      <c r="B78" t="s">
        <v>259</v>
      </c>
      <c r="C78" t="s">
        <v>260</v>
      </c>
      <c r="D78" t="s">
        <v>30</v>
      </c>
      <c r="E78" t="s">
        <v>13</v>
      </c>
      <c r="F78" t="s">
        <v>25</v>
      </c>
      <c r="G78" t="s">
        <v>19</v>
      </c>
      <c r="H78">
        <v>8</v>
      </c>
      <c r="I78">
        <v>12000</v>
      </c>
      <c r="J78">
        <v>96000</v>
      </c>
      <c r="K78">
        <v>78720</v>
      </c>
      <c r="L78">
        <v>17280</v>
      </c>
    </row>
    <row r="79" spans="1:12" x14ac:dyDescent="0.3">
      <c r="A79" t="s">
        <v>261</v>
      </c>
      <c r="B79" t="s">
        <v>262</v>
      </c>
      <c r="C79" t="s">
        <v>263</v>
      </c>
      <c r="D79" t="s">
        <v>50</v>
      </c>
      <c r="E79" t="s">
        <v>51</v>
      </c>
      <c r="F79" t="s">
        <v>38</v>
      </c>
      <c r="G79" t="s">
        <v>26</v>
      </c>
      <c r="H79">
        <v>1</v>
      </c>
      <c r="I79">
        <v>2200</v>
      </c>
      <c r="J79">
        <v>2200</v>
      </c>
      <c r="K79">
        <v>1804</v>
      </c>
      <c r="L79">
        <v>396</v>
      </c>
    </row>
    <row r="80" spans="1:12" x14ac:dyDescent="0.3">
      <c r="A80" t="s">
        <v>264</v>
      </c>
      <c r="B80" t="s">
        <v>265</v>
      </c>
      <c r="C80" t="s">
        <v>266</v>
      </c>
      <c r="D80" t="s">
        <v>23</v>
      </c>
      <c r="E80" t="s">
        <v>24</v>
      </c>
      <c r="F80" t="s">
        <v>25</v>
      </c>
      <c r="G80" t="s">
        <v>26</v>
      </c>
      <c r="H80">
        <v>1</v>
      </c>
      <c r="I80">
        <v>800</v>
      </c>
      <c r="J80">
        <v>800</v>
      </c>
      <c r="K80">
        <v>656</v>
      </c>
      <c r="L80">
        <v>144</v>
      </c>
    </row>
    <row r="81" spans="1:12" x14ac:dyDescent="0.3">
      <c r="A81" t="s">
        <v>267</v>
      </c>
      <c r="B81" t="s">
        <v>268</v>
      </c>
      <c r="C81" t="s">
        <v>269</v>
      </c>
      <c r="D81" t="s">
        <v>12</v>
      </c>
      <c r="E81" t="s">
        <v>13</v>
      </c>
      <c r="F81" t="s">
        <v>52</v>
      </c>
      <c r="G81" t="s">
        <v>26</v>
      </c>
      <c r="H81">
        <v>7</v>
      </c>
      <c r="I81">
        <v>50000</v>
      </c>
      <c r="J81">
        <v>350000</v>
      </c>
      <c r="K81">
        <v>287000</v>
      </c>
      <c r="L81">
        <v>63000</v>
      </c>
    </row>
    <row r="82" spans="1:12" x14ac:dyDescent="0.3">
      <c r="A82" t="s">
        <v>270</v>
      </c>
      <c r="B82" t="s">
        <v>271</v>
      </c>
      <c r="C82" t="s">
        <v>272</v>
      </c>
      <c r="D82" t="s">
        <v>34</v>
      </c>
      <c r="E82" t="s">
        <v>24</v>
      </c>
      <c r="F82" t="s">
        <v>38</v>
      </c>
      <c r="G82" t="s">
        <v>15</v>
      </c>
      <c r="H82">
        <v>4</v>
      </c>
      <c r="I82">
        <v>3000</v>
      </c>
      <c r="J82">
        <v>12000</v>
      </c>
      <c r="K82">
        <v>9840</v>
      </c>
      <c r="L82">
        <v>2160</v>
      </c>
    </row>
    <row r="83" spans="1:12" x14ac:dyDescent="0.3">
      <c r="A83" t="s">
        <v>273</v>
      </c>
      <c r="B83" t="s">
        <v>274</v>
      </c>
      <c r="C83" t="s">
        <v>275</v>
      </c>
      <c r="D83" t="s">
        <v>50</v>
      </c>
      <c r="E83" t="s">
        <v>51</v>
      </c>
      <c r="F83" t="s">
        <v>52</v>
      </c>
      <c r="G83" t="s">
        <v>15</v>
      </c>
      <c r="H83">
        <v>4</v>
      </c>
      <c r="I83">
        <v>2200</v>
      </c>
      <c r="J83">
        <v>8800</v>
      </c>
      <c r="K83">
        <v>7216</v>
      </c>
      <c r="L83">
        <v>1584</v>
      </c>
    </row>
    <row r="84" spans="1:12" x14ac:dyDescent="0.3">
      <c r="A84" t="s">
        <v>276</v>
      </c>
      <c r="B84" t="s">
        <v>277</v>
      </c>
      <c r="C84" t="s">
        <v>278</v>
      </c>
      <c r="D84" t="s">
        <v>59</v>
      </c>
      <c r="E84" t="s">
        <v>24</v>
      </c>
      <c r="F84" t="s">
        <v>38</v>
      </c>
      <c r="G84" t="s">
        <v>84</v>
      </c>
      <c r="H84">
        <v>1</v>
      </c>
      <c r="I84">
        <v>1500</v>
      </c>
      <c r="J84">
        <v>1500</v>
      </c>
      <c r="K84">
        <v>1230</v>
      </c>
      <c r="L84">
        <v>270</v>
      </c>
    </row>
    <row r="85" spans="1:12" x14ac:dyDescent="0.3">
      <c r="A85" t="s">
        <v>279</v>
      </c>
      <c r="B85" t="s">
        <v>280</v>
      </c>
      <c r="C85" t="s">
        <v>281</v>
      </c>
      <c r="D85" t="s">
        <v>23</v>
      </c>
      <c r="E85" t="s">
        <v>24</v>
      </c>
      <c r="F85" t="s">
        <v>25</v>
      </c>
      <c r="G85" t="s">
        <v>19</v>
      </c>
      <c r="H85">
        <v>3</v>
      </c>
      <c r="I85">
        <v>800</v>
      </c>
      <c r="J85">
        <v>2400</v>
      </c>
      <c r="K85">
        <v>1967</v>
      </c>
      <c r="L85">
        <v>433</v>
      </c>
    </row>
    <row r="86" spans="1:12" x14ac:dyDescent="0.3">
      <c r="A86" t="s">
        <v>282</v>
      </c>
      <c r="B86" t="s">
        <v>283</v>
      </c>
      <c r="C86" t="s">
        <v>284</v>
      </c>
      <c r="D86" t="s">
        <v>59</v>
      </c>
      <c r="E86" t="s">
        <v>24</v>
      </c>
      <c r="F86" t="s">
        <v>38</v>
      </c>
      <c r="G86" t="s">
        <v>26</v>
      </c>
      <c r="H86">
        <v>3</v>
      </c>
      <c r="I86">
        <v>1500</v>
      </c>
      <c r="J86">
        <v>4500</v>
      </c>
      <c r="K86">
        <v>3690</v>
      </c>
      <c r="L86">
        <v>810</v>
      </c>
    </row>
    <row r="87" spans="1:12" x14ac:dyDescent="0.3">
      <c r="A87" t="s">
        <v>285</v>
      </c>
      <c r="B87" t="s">
        <v>286</v>
      </c>
      <c r="C87" t="s">
        <v>287</v>
      </c>
      <c r="D87" t="s">
        <v>30</v>
      </c>
      <c r="E87" t="s">
        <v>13</v>
      </c>
      <c r="F87" t="s">
        <v>52</v>
      </c>
      <c r="G87" t="s">
        <v>19</v>
      </c>
      <c r="H87">
        <v>3</v>
      </c>
      <c r="I87">
        <v>12000</v>
      </c>
      <c r="J87">
        <v>36000</v>
      </c>
      <c r="K87">
        <v>29520</v>
      </c>
      <c r="L87">
        <v>6480</v>
      </c>
    </row>
    <row r="88" spans="1:12" x14ac:dyDescent="0.3">
      <c r="A88" t="s">
        <v>288</v>
      </c>
      <c r="B88" t="s">
        <v>289</v>
      </c>
      <c r="C88" t="s">
        <v>290</v>
      </c>
      <c r="D88" t="s">
        <v>34</v>
      </c>
      <c r="E88" t="s">
        <v>24</v>
      </c>
      <c r="F88" t="s">
        <v>25</v>
      </c>
      <c r="G88" t="s">
        <v>84</v>
      </c>
      <c r="H88">
        <v>7</v>
      </c>
      <c r="I88">
        <v>3000</v>
      </c>
      <c r="J88">
        <v>21000</v>
      </c>
      <c r="K88">
        <v>17220</v>
      </c>
      <c r="L88">
        <v>3780</v>
      </c>
    </row>
    <row r="89" spans="1:12" x14ac:dyDescent="0.3">
      <c r="A89" t="s">
        <v>291</v>
      </c>
      <c r="B89" t="s">
        <v>292</v>
      </c>
      <c r="C89" t="s">
        <v>293</v>
      </c>
      <c r="D89" t="s">
        <v>34</v>
      </c>
      <c r="E89" t="s">
        <v>24</v>
      </c>
      <c r="F89" t="s">
        <v>25</v>
      </c>
      <c r="G89" t="s">
        <v>26</v>
      </c>
      <c r="H89">
        <v>9</v>
      </c>
      <c r="I89">
        <v>3000</v>
      </c>
      <c r="J89">
        <v>27000</v>
      </c>
      <c r="K89">
        <v>22140</v>
      </c>
      <c r="L89">
        <v>4860</v>
      </c>
    </row>
    <row r="90" spans="1:12" x14ac:dyDescent="0.3">
      <c r="A90" t="s">
        <v>294</v>
      </c>
      <c r="B90" t="s">
        <v>295</v>
      </c>
      <c r="C90" t="s">
        <v>296</v>
      </c>
      <c r="D90" t="s">
        <v>106</v>
      </c>
      <c r="E90" t="s">
        <v>107</v>
      </c>
      <c r="F90" t="s">
        <v>25</v>
      </c>
      <c r="G90" t="s">
        <v>15</v>
      </c>
      <c r="H90">
        <v>8</v>
      </c>
      <c r="I90">
        <v>6500</v>
      </c>
      <c r="J90">
        <v>52000</v>
      </c>
      <c r="K90">
        <v>42640</v>
      </c>
      <c r="L90">
        <v>9360</v>
      </c>
    </row>
    <row r="91" spans="1:12" x14ac:dyDescent="0.3">
      <c r="A91" t="s">
        <v>297</v>
      </c>
      <c r="B91" t="s">
        <v>298</v>
      </c>
      <c r="C91" t="s">
        <v>299</v>
      </c>
      <c r="D91" t="s">
        <v>106</v>
      </c>
      <c r="E91" t="s">
        <v>107</v>
      </c>
      <c r="F91" t="s">
        <v>52</v>
      </c>
      <c r="G91" t="s">
        <v>19</v>
      </c>
      <c r="H91">
        <v>7</v>
      </c>
      <c r="I91">
        <v>6500</v>
      </c>
      <c r="J91">
        <v>45500</v>
      </c>
      <c r="K91">
        <v>37310</v>
      </c>
      <c r="L91">
        <v>8190</v>
      </c>
    </row>
    <row r="92" spans="1:12" x14ac:dyDescent="0.3">
      <c r="A92" t="s">
        <v>300</v>
      </c>
      <c r="B92" t="s">
        <v>301</v>
      </c>
      <c r="C92" t="s">
        <v>302</v>
      </c>
      <c r="D92" t="s">
        <v>12</v>
      </c>
      <c r="E92" t="s">
        <v>13</v>
      </c>
      <c r="F92" t="s">
        <v>14</v>
      </c>
      <c r="G92" t="s">
        <v>19</v>
      </c>
      <c r="H92">
        <v>3</v>
      </c>
      <c r="I92">
        <v>50000</v>
      </c>
      <c r="J92">
        <v>150000</v>
      </c>
      <c r="K92">
        <v>122999</v>
      </c>
      <c r="L92">
        <v>27001</v>
      </c>
    </row>
    <row r="93" spans="1:12" x14ac:dyDescent="0.3">
      <c r="A93" t="s">
        <v>303</v>
      </c>
      <c r="B93" t="s">
        <v>304</v>
      </c>
      <c r="C93" t="s">
        <v>305</v>
      </c>
      <c r="D93" t="s">
        <v>12</v>
      </c>
      <c r="E93" t="s">
        <v>13</v>
      </c>
      <c r="F93" t="s">
        <v>25</v>
      </c>
      <c r="G93" t="s">
        <v>43</v>
      </c>
      <c r="H93">
        <v>2</v>
      </c>
      <c r="I93">
        <v>50000</v>
      </c>
      <c r="J93">
        <v>100000</v>
      </c>
      <c r="K93">
        <v>82000</v>
      </c>
      <c r="L93">
        <v>18000</v>
      </c>
    </row>
    <row r="94" spans="1:12" x14ac:dyDescent="0.3">
      <c r="A94" t="s">
        <v>306</v>
      </c>
      <c r="B94" t="s">
        <v>307</v>
      </c>
      <c r="C94" t="s">
        <v>308</v>
      </c>
      <c r="D94" t="s">
        <v>42</v>
      </c>
      <c r="E94" t="s">
        <v>13</v>
      </c>
      <c r="F94" t="s">
        <v>14</v>
      </c>
      <c r="G94" t="s">
        <v>26</v>
      </c>
      <c r="H94">
        <v>7</v>
      </c>
      <c r="I94">
        <v>15000</v>
      </c>
      <c r="J94">
        <v>105000</v>
      </c>
      <c r="K94">
        <v>86100</v>
      </c>
      <c r="L94">
        <v>18900</v>
      </c>
    </row>
    <row r="95" spans="1:12" x14ac:dyDescent="0.3">
      <c r="A95" t="s">
        <v>309</v>
      </c>
      <c r="B95" t="s">
        <v>310</v>
      </c>
      <c r="C95" t="s">
        <v>311</v>
      </c>
      <c r="D95" t="s">
        <v>50</v>
      </c>
      <c r="E95" t="s">
        <v>51</v>
      </c>
      <c r="F95" t="s">
        <v>25</v>
      </c>
      <c r="G95" t="s">
        <v>43</v>
      </c>
      <c r="H95">
        <v>2</v>
      </c>
      <c r="I95">
        <v>2200</v>
      </c>
      <c r="J95">
        <v>4400</v>
      </c>
      <c r="K95">
        <v>3608</v>
      </c>
      <c r="L95">
        <v>792</v>
      </c>
    </row>
    <row r="96" spans="1:12" x14ac:dyDescent="0.3">
      <c r="A96" t="s">
        <v>312</v>
      </c>
      <c r="B96" t="s">
        <v>313</v>
      </c>
      <c r="C96" t="s">
        <v>314</v>
      </c>
      <c r="D96" t="s">
        <v>34</v>
      </c>
      <c r="E96" t="s">
        <v>24</v>
      </c>
      <c r="F96" t="s">
        <v>38</v>
      </c>
      <c r="G96" t="s">
        <v>43</v>
      </c>
      <c r="H96">
        <v>3</v>
      </c>
      <c r="I96">
        <v>3000</v>
      </c>
      <c r="J96">
        <v>9000</v>
      </c>
      <c r="K96">
        <v>7380</v>
      </c>
      <c r="L96">
        <v>1620</v>
      </c>
    </row>
    <row r="97" spans="1:12" x14ac:dyDescent="0.3">
      <c r="A97" t="s">
        <v>315</v>
      </c>
      <c r="B97" t="s">
        <v>316</v>
      </c>
      <c r="C97" t="s">
        <v>317</v>
      </c>
      <c r="D97" t="s">
        <v>12</v>
      </c>
      <c r="E97" t="s">
        <v>13</v>
      </c>
      <c r="F97" t="s">
        <v>52</v>
      </c>
      <c r="G97" t="s">
        <v>19</v>
      </c>
      <c r="H97">
        <v>6</v>
      </c>
      <c r="I97">
        <v>50000</v>
      </c>
      <c r="J97">
        <v>300000</v>
      </c>
      <c r="K97">
        <v>245999</v>
      </c>
      <c r="L97">
        <v>54001</v>
      </c>
    </row>
    <row r="98" spans="1:12" x14ac:dyDescent="0.3">
      <c r="A98" t="s">
        <v>318</v>
      </c>
      <c r="B98" t="s">
        <v>319</v>
      </c>
      <c r="C98" t="s">
        <v>320</v>
      </c>
      <c r="D98" t="s">
        <v>12</v>
      </c>
      <c r="E98" t="s">
        <v>13</v>
      </c>
      <c r="F98" t="s">
        <v>52</v>
      </c>
      <c r="G98" t="s">
        <v>84</v>
      </c>
      <c r="H98">
        <v>6</v>
      </c>
      <c r="I98">
        <v>50000</v>
      </c>
      <c r="J98">
        <v>300000</v>
      </c>
      <c r="K98">
        <v>245999</v>
      </c>
      <c r="L98">
        <v>54001</v>
      </c>
    </row>
    <row r="99" spans="1:12" x14ac:dyDescent="0.3">
      <c r="A99" t="s">
        <v>321</v>
      </c>
      <c r="B99" t="s">
        <v>322</v>
      </c>
      <c r="C99" t="s">
        <v>323</v>
      </c>
      <c r="D99" t="s">
        <v>106</v>
      </c>
      <c r="E99" t="s">
        <v>107</v>
      </c>
      <c r="F99" t="s">
        <v>14</v>
      </c>
      <c r="G99" t="s">
        <v>84</v>
      </c>
      <c r="H99">
        <v>7</v>
      </c>
      <c r="I99">
        <v>6500</v>
      </c>
      <c r="J99">
        <v>45500</v>
      </c>
      <c r="K99">
        <v>37310</v>
      </c>
      <c r="L99">
        <v>8190</v>
      </c>
    </row>
    <row r="100" spans="1:12" x14ac:dyDescent="0.3">
      <c r="A100" t="s">
        <v>324</v>
      </c>
      <c r="B100" t="s">
        <v>325</v>
      </c>
      <c r="C100" t="s">
        <v>326</v>
      </c>
      <c r="D100" t="s">
        <v>50</v>
      </c>
      <c r="E100" t="s">
        <v>51</v>
      </c>
      <c r="F100" t="s">
        <v>52</v>
      </c>
      <c r="G100" t="s">
        <v>26</v>
      </c>
      <c r="H100">
        <v>4</v>
      </c>
      <c r="I100">
        <v>2200</v>
      </c>
      <c r="J100">
        <v>8800</v>
      </c>
      <c r="K100">
        <v>7216</v>
      </c>
      <c r="L100">
        <v>1584</v>
      </c>
    </row>
    <row r="101" spans="1:12" x14ac:dyDescent="0.3">
      <c r="A101" t="s">
        <v>327</v>
      </c>
      <c r="B101" t="s">
        <v>328</v>
      </c>
      <c r="C101" t="s">
        <v>329</v>
      </c>
      <c r="D101" t="s">
        <v>106</v>
      </c>
      <c r="E101" t="s">
        <v>107</v>
      </c>
      <c r="F101" t="s">
        <v>52</v>
      </c>
      <c r="G101" t="s">
        <v>84</v>
      </c>
      <c r="H101">
        <v>1</v>
      </c>
      <c r="I101">
        <v>6500</v>
      </c>
      <c r="J101">
        <v>6500</v>
      </c>
      <c r="K101">
        <v>5330</v>
      </c>
      <c r="L101">
        <v>1170</v>
      </c>
    </row>
    <row r="102" spans="1:12" x14ac:dyDescent="0.3">
      <c r="A102" t="s">
        <v>330</v>
      </c>
      <c r="B102" t="s">
        <v>331</v>
      </c>
      <c r="C102" t="s">
        <v>332</v>
      </c>
      <c r="D102" t="s">
        <v>23</v>
      </c>
      <c r="E102" t="s">
        <v>24</v>
      </c>
      <c r="F102" t="s">
        <v>38</v>
      </c>
      <c r="G102" t="s">
        <v>26</v>
      </c>
      <c r="H102">
        <v>7</v>
      </c>
      <c r="I102">
        <v>800</v>
      </c>
      <c r="J102">
        <v>5600</v>
      </c>
      <c r="K102">
        <v>4592</v>
      </c>
      <c r="L102">
        <v>1008</v>
      </c>
    </row>
    <row r="103" spans="1:12" x14ac:dyDescent="0.3">
      <c r="A103" t="s">
        <v>333</v>
      </c>
      <c r="B103" t="s">
        <v>334</v>
      </c>
      <c r="C103" t="s">
        <v>335</v>
      </c>
      <c r="D103" t="s">
        <v>23</v>
      </c>
      <c r="E103" t="s">
        <v>24</v>
      </c>
      <c r="F103" t="s">
        <v>52</v>
      </c>
      <c r="G103" t="s">
        <v>15</v>
      </c>
      <c r="H103">
        <v>7</v>
      </c>
      <c r="I103">
        <v>800</v>
      </c>
      <c r="J103">
        <v>5600</v>
      </c>
      <c r="K103">
        <v>4592</v>
      </c>
      <c r="L103">
        <v>1008</v>
      </c>
    </row>
    <row r="104" spans="1:12" x14ac:dyDescent="0.3">
      <c r="A104" t="s">
        <v>336</v>
      </c>
      <c r="B104" t="s">
        <v>337</v>
      </c>
      <c r="C104" t="s">
        <v>338</v>
      </c>
      <c r="D104" t="s">
        <v>12</v>
      </c>
      <c r="E104" t="s">
        <v>13</v>
      </c>
      <c r="F104" t="s">
        <v>25</v>
      </c>
      <c r="G104" t="s">
        <v>15</v>
      </c>
      <c r="H104">
        <v>10</v>
      </c>
      <c r="I104">
        <v>50000</v>
      </c>
      <c r="J104">
        <v>500000</v>
      </c>
      <c r="K104">
        <v>410000</v>
      </c>
      <c r="L104">
        <v>90000</v>
      </c>
    </row>
    <row r="105" spans="1:12" x14ac:dyDescent="0.3">
      <c r="A105" t="s">
        <v>339</v>
      </c>
      <c r="B105" t="s">
        <v>340</v>
      </c>
      <c r="C105" t="s">
        <v>341</v>
      </c>
      <c r="D105" t="s">
        <v>42</v>
      </c>
      <c r="E105" t="s">
        <v>13</v>
      </c>
      <c r="F105" t="s">
        <v>52</v>
      </c>
      <c r="G105" t="s">
        <v>84</v>
      </c>
      <c r="H105">
        <v>4</v>
      </c>
      <c r="I105">
        <v>15000</v>
      </c>
      <c r="J105">
        <v>60000</v>
      </c>
      <c r="K105">
        <v>49200</v>
      </c>
      <c r="L105">
        <v>10800</v>
      </c>
    </row>
    <row r="106" spans="1:12" x14ac:dyDescent="0.3">
      <c r="A106" t="s">
        <v>342</v>
      </c>
      <c r="B106" t="s">
        <v>343</v>
      </c>
      <c r="C106" t="s">
        <v>344</v>
      </c>
      <c r="D106" t="s">
        <v>23</v>
      </c>
      <c r="E106" t="s">
        <v>24</v>
      </c>
      <c r="F106" t="s">
        <v>14</v>
      </c>
      <c r="G106" t="s">
        <v>15</v>
      </c>
      <c r="H106">
        <v>3</v>
      </c>
      <c r="I106">
        <v>800</v>
      </c>
      <c r="J106">
        <v>2400</v>
      </c>
      <c r="K106">
        <v>1967</v>
      </c>
      <c r="L106">
        <v>433</v>
      </c>
    </row>
    <row r="107" spans="1:12" x14ac:dyDescent="0.3">
      <c r="A107" t="s">
        <v>345</v>
      </c>
      <c r="B107" t="s">
        <v>346</v>
      </c>
      <c r="C107" t="s">
        <v>347</v>
      </c>
      <c r="D107" t="s">
        <v>106</v>
      </c>
      <c r="E107" t="s">
        <v>107</v>
      </c>
      <c r="F107" t="s">
        <v>14</v>
      </c>
      <c r="G107" t="s">
        <v>19</v>
      </c>
      <c r="H107">
        <v>2</v>
      </c>
      <c r="I107">
        <v>6500</v>
      </c>
      <c r="J107">
        <v>13000</v>
      </c>
      <c r="K107">
        <v>10660</v>
      </c>
      <c r="L107">
        <v>2340</v>
      </c>
    </row>
    <row r="108" spans="1:12" x14ac:dyDescent="0.3">
      <c r="A108" t="s">
        <v>348</v>
      </c>
      <c r="B108" t="s">
        <v>349</v>
      </c>
      <c r="C108" t="s">
        <v>350</v>
      </c>
      <c r="D108" t="s">
        <v>106</v>
      </c>
      <c r="E108" t="s">
        <v>107</v>
      </c>
      <c r="F108" t="s">
        <v>52</v>
      </c>
      <c r="G108" t="s">
        <v>43</v>
      </c>
      <c r="H108">
        <v>6</v>
      </c>
      <c r="I108">
        <v>6500</v>
      </c>
      <c r="J108">
        <v>39000</v>
      </c>
      <c r="K108">
        <v>31979</v>
      </c>
      <c r="L108">
        <v>7021</v>
      </c>
    </row>
    <row r="109" spans="1:12" x14ac:dyDescent="0.3">
      <c r="A109" t="s">
        <v>351</v>
      </c>
      <c r="B109" t="s">
        <v>352</v>
      </c>
      <c r="C109" t="s">
        <v>353</v>
      </c>
      <c r="D109" t="s">
        <v>23</v>
      </c>
      <c r="E109" t="s">
        <v>24</v>
      </c>
      <c r="F109" t="s">
        <v>52</v>
      </c>
      <c r="G109" t="s">
        <v>19</v>
      </c>
      <c r="H109">
        <v>9</v>
      </c>
      <c r="I109">
        <v>800</v>
      </c>
      <c r="J109">
        <v>7200</v>
      </c>
      <c r="K109">
        <v>5904</v>
      </c>
      <c r="L109">
        <v>1296</v>
      </c>
    </row>
    <row r="110" spans="1:12" x14ac:dyDescent="0.3">
      <c r="A110" t="s">
        <v>354</v>
      </c>
      <c r="B110" t="s">
        <v>355</v>
      </c>
      <c r="C110" t="s">
        <v>356</v>
      </c>
      <c r="D110" t="s">
        <v>23</v>
      </c>
      <c r="E110" t="s">
        <v>24</v>
      </c>
      <c r="F110" t="s">
        <v>25</v>
      </c>
      <c r="G110" t="s">
        <v>19</v>
      </c>
      <c r="H110">
        <v>1</v>
      </c>
      <c r="I110">
        <v>800</v>
      </c>
      <c r="J110">
        <v>800</v>
      </c>
      <c r="K110">
        <v>656</v>
      </c>
      <c r="L110">
        <v>144</v>
      </c>
    </row>
    <row r="111" spans="1:12" x14ac:dyDescent="0.3">
      <c r="A111" t="s">
        <v>357</v>
      </c>
      <c r="B111" t="s">
        <v>358</v>
      </c>
      <c r="C111" t="s">
        <v>359</v>
      </c>
      <c r="D111" t="s">
        <v>12</v>
      </c>
      <c r="E111" t="s">
        <v>13</v>
      </c>
      <c r="F111" t="s">
        <v>14</v>
      </c>
      <c r="G111" t="s">
        <v>84</v>
      </c>
      <c r="H111">
        <v>8</v>
      </c>
      <c r="I111">
        <v>50000</v>
      </c>
      <c r="J111">
        <v>400000</v>
      </c>
      <c r="K111">
        <v>328000</v>
      </c>
      <c r="L111">
        <v>72000</v>
      </c>
    </row>
    <row r="112" spans="1:12" x14ac:dyDescent="0.3">
      <c r="A112" t="s">
        <v>360</v>
      </c>
      <c r="B112" t="s">
        <v>361</v>
      </c>
      <c r="C112" t="s">
        <v>362</v>
      </c>
      <c r="D112" t="s">
        <v>59</v>
      </c>
      <c r="E112" t="s">
        <v>24</v>
      </c>
      <c r="F112" t="s">
        <v>38</v>
      </c>
      <c r="G112" t="s">
        <v>26</v>
      </c>
      <c r="H112">
        <v>1</v>
      </c>
      <c r="I112">
        <v>1500</v>
      </c>
      <c r="J112">
        <v>1500</v>
      </c>
      <c r="K112">
        <v>1230</v>
      </c>
      <c r="L112">
        <v>270</v>
      </c>
    </row>
    <row r="113" spans="1:12" x14ac:dyDescent="0.3">
      <c r="A113" t="s">
        <v>363</v>
      </c>
      <c r="B113" t="s">
        <v>364</v>
      </c>
      <c r="C113" t="s">
        <v>365</v>
      </c>
      <c r="D113" t="s">
        <v>42</v>
      </c>
      <c r="E113" t="s">
        <v>13</v>
      </c>
      <c r="F113" t="s">
        <v>38</v>
      </c>
      <c r="G113" t="s">
        <v>84</v>
      </c>
      <c r="H113">
        <v>10</v>
      </c>
      <c r="I113">
        <v>15000</v>
      </c>
      <c r="J113">
        <v>150000</v>
      </c>
      <c r="K113">
        <v>122999</v>
      </c>
      <c r="L113">
        <v>27001</v>
      </c>
    </row>
    <row r="114" spans="1:12" x14ac:dyDescent="0.3">
      <c r="A114" t="s">
        <v>366</v>
      </c>
      <c r="B114" t="s">
        <v>367</v>
      </c>
      <c r="C114" t="s">
        <v>368</v>
      </c>
      <c r="D114" t="s">
        <v>34</v>
      </c>
      <c r="E114" t="s">
        <v>24</v>
      </c>
      <c r="F114" t="s">
        <v>14</v>
      </c>
      <c r="G114" t="s">
        <v>26</v>
      </c>
      <c r="H114">
        <v>10</v>
      </c>
      <c r="I114">
        <v>3000</v>
      </c>
      <c r="J114">
        <v>30000</v>
      </c>
      <c r="K114">
        <v>24600</v>
      </c>
      <c r="L114">
        <v>5400</v>
      </c>
    </row>
    <row r="115" spans="1:12" x14ac:dyDescent="0.3">
      <c r="A115" t="s">
        <v>369</v>
      </c>
      <c r="B115" t="s">
        <v>370</v>
      </c>
      <c r="C115" t="s">
        <v>371</v>
      </c>
      <c r="D115" t="s">
        <v>23</v>
      </c>
      <c r="E115" t="s">
        <v>24</v>
      </c>
      <c r="F115" t="s">
        <v>38</v>
      </c>
      <c r="G115" t="s">
        <v>26</v>
      </c>
      <c r="H115">
        <v>8</v>
      </c>
      <c r="I115">
        <v>800</v>
      </c>
      <c r="J115">
        <v>6400</v>
      </c>
      <c r="K115">
        <v>5248</v>
      </c>
      <c r="L115">
        <v>1152</v>
      </c>
    </row>
    <row r="116" spans="1:12" x14ac:dyDescent="0.3">
      <c r="A116" t="s">
        <v>372</v>
      </c>
      <c r="B116" t="s">
        <v>373</v>
      </c>
      <c r="C116" t="s">
        <v>374</v>
      </c>
      <c r="D116" t="s">
        <v>50</v>
      </c>
      <c r="E116" t="s">
        <v>51</v>
      </c>
      <c r="F116" t="s">
        <v>14</v>
      </c>
      <c r="G116" t="s">
        <v>19</v>
      </c>
      <c r="H116">
        <v>2</v>
      </c>
      <c r="I116">
        <v>2200</v>
      </c>
      <c r="J116">
        <v>4400</v>
      </c>
      <c r="K116">
        <v>3608</v>
      </c>
      <c r="L116">
        <v>792</v>
      </c>
    </row>
    <row r="117" spans="1:12" x14ac:dyDescent="0.3">
      <c r="A117" t="s">
        <v>375</v>
      </c>
      <c r="B117" t="s">
        <v>376</v>
      </c>
      <c r="C117" t="s">
        <v>377</v>
      </c>
      <c r="D117" t="s">
        <v>34</v>
      </c>
      <c r="E117" t="s">
        <v>24</v>
      </c>
      <c r="F117" t="s">
        <v>38</v>
      </c>
      <c r="G117" t="s">
        <v>19</v>
      </c>
      <c r="H117">
        <v>4</v>
      </c>
      <c r="I117">
        <v>3000</v>
      </c>
      <c r="J117">
        <v>12000</v>
      </c>
      <c r="K117">
        <v>9840</v>
      </c>
      <c r="L117">
        <v>2160</v>
      </c>
    </row>
    <row r="118" spans="1:12" x14ac:dyDescent="0.3">
      <c r="A118" t="s">
        <v>378</v>
      </c>
      <c r="B118" t="s">
        <v>379</v>
      </c>
      <c r="C118" t="s">
        <v>380</v>
      </c>
      <c r="D118" t="s">
        <v>42</v>
      </c>
      <c r="E118" t="s">
        <v>13</v>
      </c>
      <c r="F118" t="s">
        <v>52</v>
      </c>
      <c r="G118" t="s">
        <v>43</v>
      </c>
      <c r="H118">
        <v>2</v>
      </c>
      <c r="I118">
        <v>15000</v>
      </c>
      <c r="J118">
        <v>30000</v>
      </c>
      <c r="K118">
        <v>24600</v>
      </c>
      <c r="L118">
        <v>5400</v>
      </c>
    </row>
    <row r="119" spans="1:12" x14ac:dyDescent="0.3">
      <c r="A119" t="s">
        <v>381</v>
      </c>
      <c r="B119" t="s">
        <v>382</v>
      </c>
      <c r="C119" t="s">
        <v>383</v>
      </c>
      <c r="D119" t="s">
        <v>23</v>
      </c>
      <c r="E119" t="s">
        <v>24</v>
      </c>
      <c r="F119" t="s">
        <v>38</v>
      </c>
      <c r="G119" t="s">
        <v>84</v>
      </c>
      <c r="H119">
        <v>3</v>
      </c>
      <c r="I119">
        <v>800</v>
      </c>
      <c r="J119">
        <v>2400</v>
      </c>
      <c r="K119">
        <v>1967</v>
      </c>
      <c r="L119">
        <v>433</v>
      </c>
    </row>
    <row r="120" spans="1:12" x14ac:dyDescent="0.3">
      <c r="A120" t="s">
        <v>384</v>
      </c>
      <c r="B120" t="s">
        <v>385</v>
      </c>
      <c r="C120" t="s">
        <v>386</v>
      </c>
      <c r="D120" t="s">
        <v>34</v>
      </c>
      <c r="E120" t="s">
        <v>24</v>
      </c>
      <c r="F120" t="s">
        <v>52</v>
      </c>
      <c r="G120" t="s">
        <v>43</v>
      </c>
      <c r="H120">
        <v>9</v>
      </c>
      <c r="I120">
        <v>3000</v>
      </c>
      <c r="J120">
        <v>27000</v>
      </c>
      <c r="K120">
        <v>22140</v>
      </c>
      <c r="L120">
        <v>4860</v>
      </c>
    </row>
    <row r="121" spans="1:12" x14ac:dyDescent="0.3">
      <c r="A121" t="s">
        <v>387</v>
      </c>
      <c r="B121" t="s">
        <v>388</v>
      </c>
      <c r="C121" t="s">
        <v>389</v>
      </c>
      <c r="D121" t="s">
        <v>59</v>
      </c>
      <c r="E121" t="s">
        <v>24</v>
      </c>
      <c r="F121" t="s">
        <v>52</v>
      </c>
      <c r="G121" t="s">
        <v>43</v>
      </c>
      <c r="H121">
        <v>3</v>
      </c>
      <c r="I121">
        <v>1500</v>
      </c>
      <c r="J121">
        <v>4500</v>
      </c>
      <c r="K121">
        <v>3690</v>
      </c>
      <c r="L121">
        <v>810</v>
      </c>
    </row>
    <row r="122" spans="1:12" x14ac:dyDescent="0.3">
      <c r="A122" t="s">
        <v>390</v>
      </c>
      <c r="B122" t="s">
        <v>391</v>
      </c>
      <c r="C122" t="s">
        <v>392</v>
      </c>
      <c r="D122" t="s">
        <v>30</v>
      </c>
      <c r="E122" t="s">
        <v>13</v>
      </c>
      <c r="F122" t="s">
        <v>52</v>
      </c>
      <c r="G122" t="s">
        <v>19</v>
      </c>
      <c r="H122">
        <v>2</v>
      </c>
      <c r="I122">
        <v>12000</v>
      </c>
      <c r="J122">
        <v>24000</v>
      </c>
      <c r="K122">
        <v>19680</v>
      </c>
      <c r="L122">
        <v>4320</v>
      </c>
    </row>
    <row r="123" spans="1:12" x14ac:dyDescent="0.3">
      <c r="A123" t="s">
        <v>393</v>
      </c>
      <c r="B123" t="s">
        <v>394</v>
      </c>
      <c r="C123" t="s">
        <v>395</v>
      </c>
      <c r="D123" t="s">
        <v>59</v>
      </c>
      <c r="E123" t="s">
        <v>24</v>
      </c>
      <c r="F123" t="s">
        <v>25</v>
      </c>
      <c r="G123" t="s">
        <v>19</v>
      </c>
      <c r="H123">
        <v>9</v>
      </c>
      <c r="I123">
        <v>1500</v>
      </c>
      <c r="J123">
        <v>13500</v>
      </c>
      <c r="K123">
        <v>11070</v>
      </c>
      <c r="L123">
        <v>2430</v>
      </c>
    </row>
    <row r="124" spans="1:12" x14ac:dyDescent="0.3">
      <c r="A124" t="s">
        <v>396</v>
      </c>
      <c r="B124" t="s">
        <v>397</v>
      </c>
      <c r="C124" t="s">
        <v>398</v>
      </c>
      <c r="D124" t="s">
        <v>106</v>
      </c>
      <c r="E124" t="s">
        <v>107</v>
      </c>
      <c r="F124" t="s">
        <v>38</v>
      </c>
      <c r="G124" t="s">
        <v>43</v>
      </c>
      <c r="H124">
        <v>8</v>
      </c>
      <c r="I124">
        <v>6500</v>
      </c>
      <c r="J124">
        <v>52000</v>
      </c>
      <c r="K124">
        <v>42640</v>
      </c>
      <c r="L124">
        <v>9360</v>
      </c>
    </row>
    <row r="125" spans="1:12" x14ac:dyDescent="0.3">
      <c r="A125" t="s">
        <v>399</v>
      </c>
      <c r="B125" t="s">
        <v>400</v>
      </c>
      <c r="C125" t="s">
        <v>401</v>
      </c>
      <c r="D125" t="s">
        <v>23</v>
      </c>
      <c r="E125" t="s">
        <v>24</v>
      </c>
      <c r="F125" t="s">
        <v>38</v>
      </c>
      <c r="G125" t="s">
        <v>19</v>
      </c>
      <c r="H125">
        <v>4</v>
      </c>
      <c r="I125">
        <v>800</v>
      </c>
      <c r="J125">
        <v>3200</v>
      </c>
      <c r="K125">
        <v>2624</v>
      </c>
      <c r="L125">
        <v>576</v>
      </c>
    </row>
    <row r="126" spans="1:12" x14ac:dyDescent="0.3">
      <c r="A126" t="s">
        <v>402</v>
      </c>
      <c r="B126" t="s">
        <v>403</v>
      </c>
      <c r="C126" t="s">
        <v>404</v>
      </c>
      <c r="D126" t="s">
        <v>23</v>
      </c>
      <c r="E126" t="s">
        <v>24</v>
      </c>
      <c r="F126" t="s">
        <v>38</v>
      </c>
      <c r="G126" t="s">
        <v>43</v>
      </c>
      <c r="H126">
        <v>4</v>
      </c>
      <c r="I126">
        <v>800</v>
      </c>
      <c r="J126">
        <v>3200</v>
      </c>
      <c r="K126">
        <v>2624</v>
      </c>
      <c r="L126">
        <v>576</v>
      </c>
    </row>
    <row r="127" spans="1:12" x14ac:dyDescent="0.3">
      <c r="A127" t="s">
        <v>405</v>
      </c>
      <c r="B127" t="s">
        <v>406</v>
      </c>
      <c r="C127" t="s">
        <v>407</v>
      </c>
      <c r="D127" t="s">
        <v>50</v>
      </c>
      <c r="E127" t="s">
        <v>51</v>
      </c>
      <c r="F127" t="s">
        <v>14</v>
      </c>
      <c r="G127" t="s">
        <v>84</v>
      </c>
      <c r="H127">
        <v>7</v>
      </c>
      <c r="I127">
        <v>2200</v>
      </c>
      <c r="J127">
        <v>15400</v>
      </c>
      <c r="K127">
        <v>12628</v>
      </c>
      <c r="L127">
        <v>2772</v>
      </c>
    </row>
    <row r="128" spans="1:12" x14ac:dyDescent="0.3">
      <c r="A128" t="s">
        <v>408</v>
      </c>
      <c r="B128" t="s">
        <v>409</v>
      </c>
      <c r="C128" t="s">
        <v>410</v>
      </c>
      <c r="D128" t="s">
        <v>23</v>
      </c>
      <c r="E128" t="s">
        <v>24</v>
      </c>
      <c r="F128" t="s">
        <v>38</v>
      </c>
      <c r="G128" t="s">
        <v>43</v>
      </c>
      <c r="H128">
        <v>5</v>
      </c>
      <c r="I128">
        <v>800</v>
      </c>
      <c r="J128">
        <v>4000</v>
      </c>
      <c r="K128">
        <v>3280</v>
      </c>
      <c r="L128">
        <v>720</v>
      </c>
    </row>
    <row r="129" spans="1:12" x14ac:dyDescent="0.3">
      <c r="A129" t="s">
        <v>411</v>
      </c>
      <c r="B129" t="s">
        <v>412</v>
      </c>
      <c r="C129" t="s">
        <v>413</v>
      </c>
      <c r="D129" t="s">
        <v>23</v>
      </c>
      <c r="E129" t="s">
        <v>24</v>
      </c>
      <c r="F129" t="s">
        <v>25</v>
      </c>
      <c r="G129" t="s">
        <v>43</v>
      </c>
      <c r="H129">
        <v>6</v>
      </c>
      <c r="I129">
        <v>800</v>
      </c>
      <c r="J129">
        <v>4800</v>
      </c>
      <c r="K129">
        <v>3935</v>
      </c>
      <c r="L129">
        <v>865</v>
      </c>
    </row>
    <row r="130" spans="1:12" x14ac:dyDescent="0.3">
      <c r="A130" t="s">
        <v>414</v>
      </c>
      <c r="B130" t="s">
        <v>415</v>
      </c>
      <c r="C130" t="s">
        <v>416</v>
      </c>
      <c r="D130" t="s">
        <v>12</v>
      </c>
      <c r="E130" t="s">
        <v>13</v>
      </c>
      <c r="F130" t="s">
        <v>25</v>
      </c>
      <c r="G130" t="s">
        <v>19</v>
      </c>
      <c r="H130">
        <v>1</v>
      </c>
      <c r="I130">
        <v>50000</v>
      </c>
      <c r="J130">
        <v>50000</v>
      </c>
      <c r="K130">
        <v>41000</v>
      </c>
      <c r="L130">
        <v>9000</v>
      </c>
    </row>
    <row r="131" spans="1:12" x14ac:dyDescent="0.3">
      <c r="A131" t="s">
        <v>417</v>
      </c>
      <c r="B131" t="s">
        <v>418</v>
      </c>
      <c r="C131" t="s">
        <v>419</v>
      </c>
      <c r="D131" t="s">
        <v>59</v>
      </c>
      <c r="E131" t="s">
        <v>24</v>
      </c>
      <c r="F131" t="s">
        <v>14</v>
      </c>
      <c r="G131" t="s">
        <v>84</v>
      </c>
      <c r="H131">
        <v>5</v>
      </c>
      <c r="I131">
        <v>1500</v>
      </c>
      <c r="J131">
        <v>7500</v>
      </c>
      <c r="K131">
        <v>6150</v>
      </c>
      <c r="L131">
        <v>1350</v>
      </c>
    </row>
    <row r="132" spans="1:12" x14ac:dyDescent="0.3">
      <c r="A132" t="s">
        <v>420</v>
      </c>
      <c r="B132" t="s">
        <v>421</v>
      </c>
      <c r="C132" t="s">
        <v>422</v>
      </c>
      <c r="D132" t="s">
        <v>12</v>
      </c>
      <c r="E132" t="s">
        <v>13</v>
      </c>
      <c r="F132" t="s">
        <v>38</v>
      </c>
      <c r="G132" t="s">
        <v>26</v>
      </c>
      <c r="H132">
        <v>8</v>
      </c>
      <c r="I132">
        <v>50000</v>
      </c>
      <c r="J132">
        <v>400000</v>
      </c>
      <c r="K132">
        <v>328000</v>
      </c>
      <c r="L132">
        <v>72000</v>
      </c>
    </row>
    <row r="133" spans="1:12" x14ac:dyDescent="0.3">
      <c r="A133" t="s">
        <v>423</v>
      </c>
      <c r="B133" t="s">
        <v>424</v>
      </c>
      <c r="C133" t="s">
        <v>425</v>
      </c>
      <c r="D133" t="s">
        <v>42</v>
      </c>
      <c r="E133" t="s">
        <v>13</v>
      </c>
      <c r="F133" t="s">
        <v>38</v>
      </c>
      <c r="G133" t="s">
        <v>84</v>
      </c>
      <c r="H133">
        <v>3</v>
      </c>
      <c r="I133">
        <v>15000</v>
      </c>
      <c r="J133">
        <v>45000</v>
      </c>
      <c r="K133">
        <v>36900</v>
      </c>
      <c r="L133">
        <v>8100</v>
      </c>
    </row>
    <row r="134" spans="1:12" x14ac:dyDescent="0.3">
      <c r="A134" t="s">
        <v>426</v>
      </c>
      <c r="B134" t="s">
        <v>427</v>
      </c>
      <c r="C134" t="s">
        <v>428</v>
      </c>
      <c r="D134" t="s">
        <v>12</v>
      </c>
      <c r="E134" t="s">
        <v>13</v>
      </c>
      <c r="F134" t="s">
        <v>14</v>
      </c>
      <c r="G134" t="s">
        <v>26</v>
      </c>
      <c r="H134">
        <v>8</v>
      </c>
      <c r="I134">
        <v>50000</v>
      </c>
      <c r="J134">
        <v>400000</v>
      </c>
      <c r="K134">
        <v>328000</v>
      </c>
      <c r="L134">
        <v>72000</v>
      </c>
    </row>
    <row r="135" spans="1:12" x14ac:dyDescent="0.3">
      <c r="A135" t="s">
        <v>429</v>
      </c>
      <c r="B135" t="s">
        <v>430</v>
      </c>
      <c r="C135" t="s">
        <v>431</v>
      </c>
      <c r="D135" t="s">
        <v>12</v>
      </c>
      <c r="E135" t="s">
        <v>13</v>
      </c>
      <c r="F135" t="s">
        <v>38</v>
      </c>
      <c r="G135" t="s">
        <v>15</v>
      </c>
      <c r="H135">
        <v>2</v>
      </c>
      <c r="I135">
        <v>50000</v>
      </c>
      <c r="J135">
        <v>100000</v>
      </c>
      <c r="K135">
        <v>82000</v>
      </c>
      <c r="L135">
        <v>18000</v>
      </c>
    </row>
    <row r="136" spans="1:12" x14ac:dyDescent="0.3">
      <c r="A136" t="s">
        <v>432</v>
      </c>
      <c r="B136" t="s">
        <v>433</v>
      </c>
      <c r="C136" t="s">
        <v>434</v>
      </c>
      <c r="D136" t="s">
        <v>50</v>
      </c>
      <c r="E136" t="s">
        <v>51</v>
      </c>
      <c r="F136" t="s">
        <v>14</v>
      </c>
      <c r="G136" t="s">
        <v>19</v>
      </c>
      <c r="H136">
        <v>1</v>
      </c>
      <c r="I136">
        <v>2200</v>
      </c>
      <c r="J136">
        <v>2200</v>
      </c>
      <c r="K136">
        <v>1804</v>
      </c>
      <c r="L136">
        <v>396</v>
      </c>
    </row>
    <row r="137" spans="1:12" x14ac:dyDescent="0.3">
      <c r="A137" t="s">
        <v>435</v>
      </c>
      <c r="B137" t="s">
        <v>436</v>
      </c>
      <c r="C137" t="s">
        <v>437</v>
      </c>
      <c r="D137" t="s">
        <v>42</v>
      </c>
      <c r="E137" t="s">
        <v>13</v>
      </c>
      <c r="F137" t="s">
        <v>14</v>
      </c>
      <c r="G137" t="s">
        <v>84</v>
      </c>
      <c r="H137">
        <v>5</v>
      </c>
      <c r="I137">
        <v>15000</v>
      </c>
      <c r="J137">
        <v>75000</v>
      </c>
      <c r="K137">
        <v>61499</v>
      </c>
      <c r="L137">
        <v>13501</v>
      </c>
    </row>
    <row r="138" spans="1:12" x14ac:dyDescent="0.3">
      <c r="A138" t="s">
        <v>438</v>
      </c>
      <c r="B138" t="s">
        <v>439</v>
      </c>
      <c r="C138" t="s">
        <v>440</v>
      </c>
      <c r="D138" t="s">
        <v>30</v>
      </c>
      <c r="E138" t="s">
        <v>13</v>
      </c>
      <c r="F138" t="s">
        <v>52</v>
      </c>
      <c r="G138" t="s">
        <v>19</v>
      </c>
      <c r="H138">
        <v>8</v>
      </c>
      <c r="I138">
        <v>12000</v>
      </c>
      <c r="J138">
        <v>96000</v>
      </c>
      <c r="K138">
        <v>78720</v>
      </c>
      <c r="L138">
        <v>17280</v>
      </c>
    </row>
    <row r="139" spans="1:12" x14ac:dyDescent="0.3">
      <c r="A139" t="s">
        <v>441</v>
      </c>
      <c r="B139" t="s">
        <v>442</v>
      </c>
      <c r="C139" t="s">
        <v>443</v>
      </c>
      <c r="D139" t="s">
        <v>50</v>
      </c>
      <c r="E139" t="s">
        <v>51</v>
      </c>
      <c r="F139" t="s">
        <v>25</v>
      </c>
      <c r="G139" t="s">
        <v>43</v>
      </c>
      <c r="H139">
        <v>8</v>
      </c>
      <c r="I139">
        <v>2200</v>
      </c>
      <c r="J139">
        <v>17600</v>
      </c>
      <c r="K139">
        <v>14432</v>
      </c>
      <c r="L139">
        <v>3168</v>
      </c>
    </row>
    <row r="140" spans="1:12" x14ac:dyDescent="0.3">
      <c r="A140" t="s">
        <v>444</v>
      </c>
      <c r="B140" t="s">
        <v>445</v>
      </c>
      <c r="C140" t="s">
        <v>446</v>
      </c>
      <c r="D140" t="s">
        <v>106</v>
      </c>
      <c r="E140" t="s">
        <v>107</v>
      </c>
      <c r="F140" t="s">
        <v>14</v>
      </c>
      <c r="G140" t="s">
        <v>26</v>
      </c>
      <c r="H140">
        <v>6</v>
      </c>
      <c r="I140">
        <v>6500</v>
      </c>
      <c r="J140">
        <v>39000</v>
      </c>
      <c r="K140">
        <v>31979</v>
      </c>
      <c r="L140">
        <v>7021</v>
      </c>
    </row>
    <row r="141" spans="1:12" x14ac:dyDescent="0.3">
      <c r="A141" t="s">
        <v>447</v>
      </c>
      <c r="B141" t="s">
        <v>448</v>
      </c>
      <c r="C141" t="s">
        <v>449</v>
      </c>
      <c r="D141" t="s">
        <v>42</v>
      </c>
      <c r="E141" t="s">
        <v>13</v>
      </c>
      <c r="F141" t="s">
        <v>38</v>
      </c>
      <c r="G141" t="s">
        <v>15</v>
      </c>
      <c r="H141">
        <v>1</v>
      </c>
      <c r="I141">
        <v>15000</v>
      </c>
      <c r="J141">
        <v>15000</v>
      </c>
      <c r="K141">
        <v>12300</v>
      </c>
      <c r="L141">
        <v>2700</v>
      </c>
    </row>
    <row r="142" spans="1:12" x14ac:dyDescent="0.3">
      <c r="A142" t="s">
        <v>450</v>
      </c>
      <c r="B142" t="s">
        <v>451</v>
      </c>
      <c r="C142" t="s">
        <v>452</v>
      </c>
      <c r="D142" t="s">
        <v>42</v>
      </c>
      <c r="E142" t="s">
        <v>13</v>
      </c>
      <c r="F142" t="s">
        <v>14</v>
      </c>
      <c r="G142" t="s">
        <v>19</v>
      </c>
      <c r="H142">
        <v>10</v>
      </c>
      <c r="I142">
        <v>15000</v>
      </c>
      <c r="J142">
        <v>150000</v>
      </c>
      <c r="K142">
        <v>122999</v>
      </c>
      <c r="L142">
        <v>27001</v>
      </c>
    </row>
    <row r="143" spans="1:12" x14ac:dyDescent="0.3">
      <c r="A143" t="s">
        <v>453</v>
      </c>
      <c r="B143" t="s">
        <v>454</v>
      </c>
      <c r="C143" t="s">
        <v>455</v>
      </c>
      <c r="D143" t="s">
        <v>23</v>
      </c>
      <c r="E143" t="s">
        <v>24</v>
      </c>
      <c r="F143" t="s">
        <v>25</v>
      </c>
      <c r="G143" t="s">
        <v>26</v>
      </c>
      <c r="H143">
        <v>10</v>
      </c>
      <c r="I143">
        <v>800</v>
      </c>
      <c r="J143">
        <v>8000</v>
      </c>
      <c r="K143">
        <v>6560</v>
      </c>
      <c r="L143">
        <v>1440</v>
      </c>
    </row>
    <row r="144" spans="1:12" x14ac:dyDescent="0.3">
      <c r="A144" t="s">
        <v>456</v>
      </c>
      <c r="B144" t="s">
        <v>457</v>
      </c>
      <c r="C144" t="s">
        <v>458</v>
      </c>
      <c r="D144" t="s">
        <v>12</v>
      </c>
      <c r="E144" t="s">
        <v>13</v>
      </c>
      <c r="F144" t="s">
        <v>25</v>
      </c>
      <c r="G144" t="s">
        <v>19</v>
      </c>
      <c r="H144">
        <v>10</v>
      </c>
      <c r="I144">
        <v>50000</v>
      </c>
      <c r="J144">
        <v>500000</v>
      </c>
      <c r="K144">
        <v>410000</v>
      </c>
      <c r="L144">
        <v>90000</v>
      </c>
    </row>
    <row r="145" spans="1:12" x14ac:dyDescent="0.3">
      <c r="A145" t="s">
        <v>459</v>
      </c>
      <c r="B145" t="s">
        <v>460</v>
      </c>
      <c r="C145" t="s">
        <v>461</v>
      </c>
      <c r="D145" t="s">
        <v>12</v>
      </c>
      <c r="E145" t="s">
        <v>13</v>
      </c>
      <c r="F145" t="s">
        <v>25</v>
      </c>
      <c r="G145" t="s">
        <v>19</v>
      </c>
      <c r="H145">
        <v>2</v>
      </c>
      <c r="I145">
        <v>50000</v>
      </c>
      <c r="J145">
        <v>100000</v>
      </c>
      <c r="K145">
        <v>82000</v>
      </c>
      <c r="L145">
        <v>18000</v>
      </c>
    </row>
    <row r="146" spans="1:12" x14ac:dyDescent="0.3">
      <c r="A146" t="s">
        <v>462</v>
      </c>
      <c r="B146" t="s">
        <v>463</v>
      </c>
      <c r="C146" t="s">
        <v>464</v>
      </c>
      <c r="D146" t="s">
        <v>59</v>
      </c>
      <c r="E146" t="s">
        <v>24</v>
      </c>
      <c r="F146" t="s">
        <v>14</v>
      </c>
      <c r="G146" t="s">
        <v>19</v>
      </c>
      <c r="H146">
        <v>5</v>
      </c>
      <c r="I146">
        <v>1500</v>
      </c>
      <c r="J146">
        <v>7500</v>
      </c>
      <c r="K146">
        <v>6150</v>
      </c>
      <c r="L146">
        <v>1350</v>
      </c>
    </row>
    <row r="147" spans="1:12" x14ac:dyDescent="0.3">
      <c r="A147" t="s">
        <v>465</v>
      </c>
      <c r="B147" t="s">
        <v>466</v>
      </c>
      <c r="C147" t="s">
        <v>467</v>
      </c>
      <c r="D147" t="s">
        <v>42</v>
      </c>
      <c r="E147" t="s">
        <v>13</v>
      </c>
      <c r="F147" t="s">
        <v>14</v>
      </c>
      <c r="G147" t="s">
        <v>84</v>
      </c>
      <c r="H147">
        <v>7</v>
      </c>
      <c r="I147">
        <v>15000</v>
      </c>
      <c r="J147">
        <v>105000</v>
      </c>
      <c r="K147">
        <v>86100</v>
      </c>
      <c r="L147">
        <v>18900</v>
      </c>
    </row>
    <row r="148" spans="1:12" x14ac:dyDescent="0.3">
      <c r="A148" t="s">
        <v>468</v>
      </c>
      <c r="B148" t="s">
        <v>469</v>
      </c>
      <c r="C148" t="s">
        <v>470</v>
      </c>
      <c r="D148" t="s">
        <v>23</v>
      </c>
      <c r="E148" t="s">
        <v>24</v>
      </c>
      <c r="F148" t="s">
        <v>25</v>
      </c>
      <c r="G148" t="s">
        <v>26</v>
      </c>
      <c r="H148">
        <v>8</v>
      </c>
      <c r="I148">
        <v>800</v>
      </c>
      <c r="J148">
        <v>6400</v>
      </c>
      <c r="K148">
        <v>5248</v>
      </c>
      <c r="L148">
        <v>1152</v>
      </c>
    </row>
    <row r="149" spans="1:12" x14ac:dyDescent="0.3">
      <c r="A149" t="s">
        <v>471</v>
      </c>
      <c r="B149" t="s">
        <v>472</v>
      </c>
      <c r="C149" t="s">
        <v>473</v>
      </c>
      <c r="D149" t="s">
        <v>59</v>
      </c>
      <c r="E149" t="s">
        <v>24</v>
      </c>
      <c r="F149" t="s">
        <v>14</v>
      </c>
      <c r="G149" t="s">
        <v>26</v>
      </c>
      <c r="H149">
        <v>6</v>
      </c>
      <c r="I149">
        <v>1500</v>
      </c>
      <c r="J149">
        <v>9000</v>
      </c>
      <c r="K149">
        <v>7380</v>
      </c>
      <c r="L149">
        <v>1620</v>
      </c>
    </row>
    <row r="150" spans="1:12" x14ac:dyDescent="0.3">
      <c r="A150" t="s">
        <v>474</v>
      </c>
      <c r="B150" t="s">
        <v>475</v>
      </c>
      <c r="C150" t="s">
        <v>476</v>
      </c>
      <c r="D150" t="s">
        <v>50</v>
      </c>
      <c r="E150" t="s">
        <v>51</v>
      </c>
      <c r="F150" t="s">
        <v>14</v>
      </c>
      <c r="G150" t="s">
        <v>84</v>
      </c>
      <c r="H150">
        <v>6</v>
      </c>
      <c r="I150">
        <v>2200</v>
      </c>
      <c r="J150">
        <v>13200</v>
      </c>
      <c r="K150">
        <v>10824</v>
      </c>
      <c r="L150">
        <v>2376</v>
      </c>
    </row>
    <row r="151" spans="1:12" x14ac:dyDescent="0.3">
      <c r="A151" t="s">
        <v>477</v>
      </c>
      <c r="B151" t="s">
        <v>478</v>
      </c>
      <c r="C151" t="s">
        <v>479</v>
      </c>
      <c r="D151" t="s">
        <v>23</v>
      </c>
      <c r="E151" t="s">
        <v>24</v>
      </c>
      <c r="F151" t="s">
        <v>52</v>
      </c>
      <c r="G151" t="s">
        <v>19</v>
      </c>
      <c r="H151">
        <v>3</v>
      </c>
      <c r="I151">
        <v>800</v>
      </c>
      <c r="J151">
        <v>2400</v>
      </c>
      <c r="K151">
        <v>1967</v>
      </c>
      <c r="L151">
        <v>433</v>
      </c>
    </row>
    <row r="152" spans="1:12" x14ac:dyDescent="0.3">
      <c r="A152" t="s">
        <v>480</v>
      </c>
      <c r="B152" t="s">
        <v>481</v>
      </c>
      <c r="C152" t="s">
        <v>482</v>
      </c>
      <c r="D152" t="s">
        <v>23</v>
      </c>
      <c r="E152" t="s">
        <v>24</v>
      </c>
      <c r="F152" t="s">
        <v>52</v>
      </c>
      <c r="G152" t="s">
        <v>43</v>
      </c>
      <c r="H152">
        <v>8</v>
      </c>
      <c r="I152">
        <v>800</v>
      </c>
      <c r="J152">
        <v>6400</v>
      </c>
      <c r="K152">
        <v>5248</v>
      </c>
      <c r="L152">
        <v>1152</v>
      </c>
    </row>
    <row r="153" spans="1:12" x14ac:dyDescent="0.3">
      <c r="A153" t="s">
        <v>483</v>
      </c>
      <c r="B153" t="s">
        <v>484</v>
      </c>
      <c r="C153" t="s">
        <v>485</v>
      </c>
      <c r="D153" t="s">
        <v>106</v>
      </c>
      <c r="E153" t="s">
        <v>107</v>
      </c>
      <c r="F153" t="s">
        <v>52</v>
      </c>
      <c r="G153" t="s">
        <v>43</v>
      </c>
      <c r="H153">
        <v>1</v>
      </c>
      <c r="I153">
        <v>6500</v>
      </c>
      <c r="J153">
        <v>6500</v>
      </c>
      <c r="K153">
        <v>5330</v>
      </c>
      <c r="L153">
        <v>1170</v>
      </c>
    </row>
    <row r="154" spans="1:12" x14ac:dyDescent="0.3">
      <c r="A154" t="s">
        <v>486</v>
      </c>
      <c r="B154" t="s">
        <v>487</v>
      </c>
      <c r="C154" t="s">
        <v>488</v>
      </c>
      <c r="D154" t="s">
        <v>42</v>
      </c>
      <c r="E154" t="s">
        <v>13</v>
      </c>
      <c r="F154" t="s">
        <v>14</v>
      </c>
      <c r="G154" t="s">
        <v>15</v>
      </c>
      <c r="H154">
        <v>2</v>
      </c>
      <c r="I154">
        <v>15000</v>
      </c>
      <c r="J154">
        <v>30000</v>
      </c>
      <c r="K154">
        <v>24600</v>
      </c>
      <c r="L154">
        <v>5400</v>
      </c>
    </row>
    <row r="155" spans="1:12" x14ac:dyDescent="0.3">
      <c r="A155" t="s">
        <v>489</v>
      </c>
      <c r="B155" t="s">
        <v>490</v>
      </c>
      <c r="C155" t="s">
        <v>491</v>
      </c>
      <c r="D155" t="s">
        <v>30</v>
      </c>
      <c r="E155" t="s">
        <v>13</v>
      </c>
      <c r="F155" t="s">
        <v>14</v>
      </c>
      <c r="G155" t="s">
        <v>84</v>
      </c>
      <c r="H155">
        <v>10</v>
      </c>
      <c r="I155">
        <v>12000</v>
      </c>
      <c r="J155">
        <v>120000</v>
      </c>
      <c r="K155">
        <v>98400</v>
      </c>
      <c r="L155">
        <v>21600</v>
      </c>
    </row>
    <row r="156" spans="1:12" x14ac:dyDescent="0.3">
      <c r="A156" t="s">
        <v>492</v>
      </c>
      <c r="B156" t="s">
        <v>493</v>
      </c>
      <c r="C156" t="s">
        <v>494</v>
      </c>
      <c r="D156" t="s">
        <v>34</v>
      </c>
      <c r="E156" t="s">
        <v>24</v>
      </c>
      <c r="F156" t="s">
        <v>25</v>
      </c>
      <c r="G156" t="s">
        <v>26</v>
      </c>
      <c r="H156">
        <v>9</v>
      </c>
      <c r="I156">
        <v>3000</v>
      </c>
      <c r="J156">
        <v>27000</v>
      </c>
      <c r="K156">
        <v>22140</v>
      </c>
      <c r="L156">
        <v>4860</v>
      </c>
    </row>
    <row r="157" spans="1:12" x14ac:dyDescent="0.3">
      <c r="A157" t="s">
        <v>495</v>
      </c>
      <c r="B157" t="s">
        <v>496</v>
      </c>
      <c r="C157" t="s">
        <v>497</v>
      </c>
      <c r="D157" t="s">
        <v>50</v>
      </c>
      <c r="E157" t="s">
        <v>51</v>
      </c>
      <c r="F157" t="s">
        <v>38</v>
      </c>
      <c r="G157" t="s">
        <v>43</v>
      </c>
      <c r="H157">
        <v>3</v>
      </c>
      <c r="I157">
        <v>2200</v>
      </c>
      <c r="J157">
        <v>6600</v>
      </c>
      <c r="K157">
        <v>5412</v>
      </c>
      <c r="L157">
        <v>1188</v>
      </c>
    </row>
    <row r="158" spans="1:12" x14ac:dyDescent="0.3">
      <c r="A158" t="s">
        <v>498</v>
      </c>
      <c r="B158" t="s">
        <v>499</v>
      </c>
      <c r="C158" t="s">
        <v>500</v>
      </c>
      <c r="D158" t="s">
        <v>42</v>
      </c>
      <c r="E158" t="s">
        <v>13</v>
      </c>
      <c r="F158" t="s">
        <v>14</v>
      </c>
      <c r="G158" t="s">
        <v>26</v>
      </c>
      <c r="H158">
        <v>10</v>
      </c>
      <c r="I158">
        <v>15000</v>
      </c>
      <c r="J158">
        <v>150000</v>
      </c>
      <c r="K158">
        <v>122999</v>
      </c>
      <c r="L158">
        <v>27001</v>
      </c>
    </row>
    <row r="159" spans="1:12" x14ac:dyDescent="0.3">
      <c r="A159" t="s">
        <v>501</v>
      </c>
      <c r="B159" t="s">
        <v>502</v>
      </c>
      <c r="C159" t="s">
        <v>503</v>
      </c>
      <c r="D159" t="s">
        <v>50</v>
      </c>
      <c r="E159" t="s">
        <v>51</v>
      </c>
      <c r="F159" t="s">
        <v>14</v>
      </c>
      <c r="G159" t="s">
        <v>26</v>
      </c>
      <c r="H159">
        <v>1</v>
      </c>
      <c r="I159">
        <v>2200</v>
      </c>
      <c r="J159">
        <v>2200</v>
      </c>
      <c r="K159">
        <v>1804</v>
      </c>
      <c r="L159">
        <v>396</v>
      </c>
    </row>
    <row r="160" spans="1:12" x14ac:dyDescent="0.3">
      <c r="A160" t="s">
        <v>504</v>
      </c>
      <c r="B160" t="s">
        <v>505</v>
      </c>
      <c r="C160" t="s">
        <v>506</v>
      </c>
      <c r="D160" t="s">
        <v>50</v>
      </c>
      <c r="E160" t="s">
        <v>51</v>
      </c>
      <c r="F160" t="s">
        <v>25</v>
      </c>
      <c r="G160" t="s">
        <v>19</v>
      </c>
      <c r="H160">
        <v>8</v>
      </c>
      <c r="I160">
        <v>2200</v>
      </c>
      <c r="J160">
        <v>17600</v>
      </c>
      <c r="K160">
        <v>14432</v>
      </c>
      <c r="L160">
        <v>3168</v>
      </c>
    </row>
    <row r="161" spans="1:12" x14ac:dyDescent="0.3">
      <c r="A161" t="s">
        <v>507</v>
      </c>
      <c r="B161" t="s">
        <v>508</v>
      </c>
      <c r="C161" t="s">
        <v>509</v>
      </c>
      <c r="D161" t="s">
        <v>59</v>
      </c>
      <c r="E161" t="s">
        <v>24</v>
      </c>
      <c r="F161" t="s">
        <v>25</v>
      </c>
      <c r="G161" t="s">
        <v>84</v>
      </c>
      <c r="H161">
        <v>9</v>
      </c>
      <c r="I161">
        <v>1500</v>
      </c>
      <c r="J161">
        <v>13500</v>
      </c>
      <c r="K161">
        <v>11070</v>
      </c>
      <c r="L161">
        <v>2430</v>
      </c>
    </row>
    <row r="162" spans="1:12" x14ac:dyDescent="0.3">
      <c r="A162" t="s">
        <v>510</v>
      </c>
      <c r="B162" t="s">
        <v>511</v>
      </c>
      <c r="C162" t="s">
        <v>512</v>
      </c>
      <c r="D162" t="s">
        <v>106</v>
      </c>
      <c r="E162" t="s">
        <v>107</v>
      </c>
      <c r="F162" t="s">
        <v>25</v>
      </c>
      <c r="G162" t="s">
        <v>19</v>
      </c>
      <c r="H162">
        <v>1</v>
      </c>
      <c r="I162">
        <v>6500</v>
      </c>
      <c r="J162">
        <v>6500</v>
      </c>
      <c r="K162">
        <v>5330</v>
      </c>
      <c r="L162">
        <v>1170</v>
      </c>
    </row>
    <row r="163" spans="1:12" x14ac:dyDescent="0.3">
      <c r="A163" t="s">
        <v>513</v>
      </c>
      <c r="B163" t="s">
        <v>514</v>
      </c>
      <c r="C163" t="s">
        <v>515</v>
      </c>
      <c r="D163" t="s">
        <v>30</v>
      </c>
      <c r="E163" t="s">
        <v>13</v>
      </c>
      <c r="F163" t="s">
        <v>25</v>
      </c>
      <c r="G163" t="s">
        <v>84</v>
      </c>
      <c r="H163">
        <v>9</v>
      </c>
      <c r="I163">
        <v>12000</v>
      </c>
      <c r="J163">
        <v>108000</v>
      </c>
      <c r="K163">
        <v>88560</v>
      </c>
      <c r="L163">
        <v>19440</v>
      </c>
    </row>
    <row r="164" spans="1:12" x14ac:dyDescent="0.3">
      <c r="A164" t="s">
        <v>516</v>
      </c>
      <c r="B164" t="s">
        <v>517</v>
      </c>
      <c r="C164" t="s">
        <v>518</v>
      </c>
      <c r="D164" t="s">
        <v>12</v>
      </c>
      <c r="E164" t="s">
        <v>13</v>
      </c>
      <c r="F164" t="s">
        <v>14</v>
      </c>
      <c r="G164" t="s">
        <v>84</v>
      </c>
      <c r="H164">
        <v>10</v>
      </c>
      <c r="I164">
        <v>50000</v>
      </c>
      <c r="J164">
        <v>500000</v>
      </c>
      <c r="K164">
        <v>410000</v>
      </c>
      <c r="L164">
        <v>90000</v>
      </c>
    </row>
    <row r="165" spans="1:12" x14ac:dyDescent="0.3">
      <c r="A165" t="s">
        <v>519</v>
      </c>
      <c r="B165" t="s">
        <v>520</v>
      </c>
      <c r="C165" t="s">
        <v>521</v>
      </c>
      <c r="D165" t="s">
        <v>42</v>
      </c>
      <c r="E165" t="s">
        <v>13</v>
      </c>
      <c r="F165" t="s">
        <v>52</v>
      </c>
      <c r="G165" t="s">
        <v>19</v>
      </c>
      <c r="H165">
        <v>9</v>
      </c>
      <c r="I165">
        <v>15000</v>
      </c>
      <c r="J165">
        <v>135000</v>
      </c>
      <c r="K165">
        <v>110700</v>
      </c>
      <c r="L165">
        <v>24300</v>
      </c>
    </row>
    <row r="166" spans="1:12" x14ac:dyDescent="0.3">
      <c r="A166" t="s">
        <v>522</v>
      </c>
      <c r="B166" t="s">
        <v>523</v>
      </c>
      <c r="C166" t="s">
        <v>524</v>
      </c>
      <c r="D166" t="s">
        <v>50</v>
      </c>
      <c r="E166" t="s">
        <v>51</v>
      </c>
      <c r="F166" t="s">
        <v>25</v>
      </c>
      <c r="G166" t="s">
        <v>84</v>
      </c>
      <c r="H166">
        <v>9</v>
      </c>
      <c r="I166">
        <v>2200</v>
      </c>
      <c r="J166">
        <v>19800</v>
      </c>
      <c r="K166">
        <v>16235</v>
      </c>
      <c r="L166">
        <v>3565</v>
      </c>
    </row>
    <row r="167" spans="1:12" x14ac:dyDescent="0.3">
      <c r="A167" t="s">
        <v>525</v>
      </c>
      <c r="B167" t="s">
        <v>526</v>
      </c>
      <c r="C167" t="s">
        <v>527</v>
      </c>
      <c r="D167" t="s">
        <v>12</v>
      </c>
      <c r="E167" t="s">
        <v>13</v>
      </c>
      <c r="F167" t="s">
        <v>25</v>
      </c>
      <c r="G167" t="s">
        <v>19</v>
      </c>
      <c r="H167">
        <v>9</v>
      </c>
      <c r="I167">
        <v>50000</v>
      </c>
      <c r="J167">
        <v>450000</v>
      </c>
      <c r="K167">
        <v>369000</v>
      </c>
      <c r="L167">
        <v>81000</v>
      </c>
    </row>
    <row r="168" spans="1:12" x14ac:dyDescent="0.3">
      <c r="A168" t="s">
        <v>528</v>
      </c>
      <c r="B168" t="s">
        <v>529</v>
      </c>
      <c r="C168" t="s">
        <v>530</v>
      </c>
      <c r="D168" t="s">
        <v>12</v>
      </c>
      <c r="E168" t="s">
        <v>13</v>
      </c>
      <c r="F168" t="s">
        <v>38</v>
      </c>
      <c r="G168" t="s">
        <v>19</v>
      </c>
      <c r="H168">
        <v>7</v>
      </c>
      <c r="I168">
        <v>50000</v>
      </c>
      <c r="J168">
        <v>350000</v>
      </c>
      <c r="K168">
        <v>287000</v>
      </c>
      <c r="L168">
        <v>63000</v>
      </c>
    </row>
    <row r="169" spans="1:12" x14ac:dyDescent="0.3">
      <c r="A169" t="s">
        <v>531</v>
      </c>
      <c r="B169" t="s">
        <v>532</v>
      </c>
      <c r="C169" t="s">
        <v>533</v>
      </c>
      <c r="D169" t="s">
        <v>30</v>
      </c>
      <c r="E169" t="s">
        <v>13</v>
      </c>
      <c r="F169" t="s">
        <v>14</v>
      </c>
      <c r="G169" t="s">
        <v>15</v>
      </c>
      <c r="H169">
        <v>7</v>
      </c>
      <c r="I169">
        <v>12000</v>
      </c>
      <c r="J169">
        <v>84000</v>
      </c>
      <c r="K169">
        <v>68880</v>
      </c>
      <c r="L169">
        <v>15120</v>
      </c>
    </row>
    <row r="170" spans="1:12" x14ac:dyDescent="0.3">
      <c r="A170" t="s">
        <v>534</v>
      </c>
      <c r="B170" t="s">
        <v>535</v>
      </c>
      <c r="C170" t="s">
        <v>536</v>
      </c>
      <c r="D170" t="s">
        <v>12</v>
      </c>
      <c r="E170" t="s">
        <v>13</v>
      </c>
      <c r="F170" t="s">
        <v>52</v>
      </c>
      <c r="G170" t="s">
        <v>84</v>
      </c>
      <c r="H170">
        <v>5</v>
      </c>
      <c r="I170">
        <v>50000</v>
      </c>
      <c r="J170">
        <v>250000</v>
      </c>
      <c r="K170">
        <v>205000</v>
      </c>
      <c r="L170">
        <v>45000</v>
      </c>
    </row>
    <row r="171" spans="1:12" x14ac:dyDescent="0.3">
      <c r="A171" t="s">
        <v>537</v>
      </c>
      <c r="B171" t="s">
        <v>538</v>
      </c>
      <c r="C171" t="s">
        <v>539</v>
      </c>
      <c r="D171" t="s">
        <v>42</v>
      </c>
      <c r="E171" t="s">
        <v>13</v>
      </c>
      <c r="F171" t="s">
        <v>25</v>
      </c>
      <c r="G171" t="s">
        <v>84</v>
      </c>
      <c r="H171">
        <v>3</v>
      </c>
      <c r="I171">
        <v>15000</v>
      </c>
      <c r="J171">
        <v>45000</v>
      </c>
      <c r="K171">
        <v>36900</v>
      </c>
      <c r="L171">
        <v>8100</v>
      </c>
    </row>
    <row r="172" spans="1:12" x14ac:dyDescent="0.3">
      <c r="A172" t="s">
        <v>540</v>
      </c>
      <c r="B172" t="s">
        <v>541</v>
      </c>
      <c r="C172" t="s">
        <v>542</v>
      </c>
      <c r="D172" t="s">
        <v>106</v>
      </c>
      <c r="E172" t="s">
        <v>107</v>
      </c>
      <c r="F172" t="s">
        <v>52</v>
      </c>
      <c r="G172" t="s">
        <v>19</v>
      </c>
      <c r="H172">
        <v>5</v>
      </c>
      <c r="I172">
        <v>6500</v>
      </c>
      <c r="J172">
        <v>32500</v>
      </c>
      <c r="K172">
        <v>26650</v>
      </c>
      <c r="L172">
        <v>5850</v>
      </c>
    </row>
    <row r="173" spans="1:12" x14ac:dyDescent="0.3">
      <c r="A173" t="s">
        <v>543</v>
      </c>
      <c r="B173" t="s">
        <v>544</v>
      </c>
      <c r="C173" t="s">
        <v>545</v>
      </c>
      <c r="D173" t="s">
        <v>59</v>
      </c>
      <c r="E173" t="s">
        <v>24</v>
      </c>
      <c r="F173" t="s">
        <v>52</v>
      </c>
      <c r="G173" t="s">
        <v>26</v>
      </c>
      <c r="H173">
        <v>8</v>
      </c>
      <c r="I173">
        <v>1500</v>
      </c>
      <c r="J173">
        <v>12000</v>
      </c>
      <c r="K173">
        <v>9840</v>
      </c>
      <c r="L173">
        <v>2160</v>
      </c>
    </row>
    <row r="174" spans="1:12" x14ac:dyDescent="0.3">
      <c r="A174" t="s">
        <v>546</v>
      </c>
      <c r="B174" t="s">
        <v>547</v>
      </c>
      <c r="C174" t="s">
        <v>548</v>
      </c>
      <c r="D174" t="s">
        <v>23</v>
      </c>
      <c r="E174" t="s">
        <v>24</v>
      </c>
      <c r="F174" t="s">
        <v>25</v>
      </c>
      <c r="G174" t="s">
        <v>19</v>
      </c>
      <c r="H174">
        <v>7</v>
      </c>
      <c r="I174">
        <v>800</v>
      </c>
      <c r="J174">
        <v>5600</v>
      </c>
      <c r="K174">
        <v>4592</v>
      </c>
      <c r="L174">
        <v>1008</v>
      </c>
    </row>
    <row r="175" spans="1:12" x14ac:dyDescent="0.3">
      <c r="A175" t="s">
        <v>549</v>
      </c>
      <c r="B175" t="s">
        <v>550</v>
      </c>
      <c r="C175" t="s">
        <v>551</v>
      </c>
      <c r="D175" t="s">
        <v>34</v>
      </c>
      <c r="E175" t="s">
        <v>24</v>
      </c>
      <c r="F175" t="s">
        <v>14</v>
      </c>
      <c r="G175" t="s">
        <v>43</v>
      </c>
      <c r="H175">
        <v>1</v>
      </c>
      <c r="I175">
        <v>3000</v>
      </c>
      <c r="J175">
        <v>3000</v>
      </c>
      <c r="K175">
        <v>2460</v>
      </c>
      <c r="L175">
        <v>540</v>
      </c>
    </row>
    <row r="176" spans="1:12" x14ac:dyDescent="0.3">
      <c r="A176" t="s">
        <v>552</v>
      </c>
      <c r="B176" t="s">
        <v>553</v>
      </c>
      <c r="C176" t="s">
        <v>554</v>
      </c>
      <c r="D176" t="s">
        <v>30</v>
      </c>
      <c r="E176" t="s">
        <v>13</v>
      </c>
      <c r="F176" t="s">
        <v>38</v>
      </c>
      <c r="G176" t="s">
        <v>15</v>
      </c>
      <c r="H176">
        <v>3</v>
      </c>
      <c r="I176">
        <v>12000</v>
      </c>
      <c r="J176">
        <v>36000</v>
      </c>
      <c r="K176">
        <v>29520</v>
      </c>
      <c r="L176">
        <v>6480</v>
      </c>
    </row>
    <row r="177" spans="1:12" x14ac:dyDescent="0.3">
      <c r="A177" t="s">
        <v>555</v>
      </c>
      <c r="B177" t="s">
        <v>556</v>
      </c>
      <c r="C177" t="s">
        <v>557</v>
      </c>
      <c r="D177" t="s">
        <v>30</v>
      </c>
      <c r="E177" t="s">
        <v>13</v>
      </c>
      <c r="F177" t="s">
        <v>25</v>
      </c>
      <c r="G177" t="s">
        <v>26</v>
      </c>
      <c r="H177">
        <v>7</v>
      </c>
      <c r="I177">
        <v>12000</v>
      </c>
      <c r="J177">
        <v>84000</v>
      </c>
      <c r="K177">
        <v>68880</v>
      </c>
      <c r="L177">
        <v>15120</v>
      </c>
    </row>
    <row r="178" spans="1:12" x14ac:dyDescent="0.3">
      <c r="A178" t="s">
        <v>558</v>
      </c>
      <c r="B178" t="s">
        <v>559</v>
      </c>
      <c r="C178" t="s">
        <v>560</v>
      </c>
      <c r="D178" t="s">
        <v>106</v>
      </c>
      <c r="E178" t="s">
        <v>107</v>
      </c>
      <c r="F178" t="s">
        <v>14</v>
      </c>
      <c r="G178" t="s">
        <v>84</v>
      </c>
      <c r="H178">
        <v>4</v>
      </c>
      <c r="I178">
        <v>6500</v>
      </c>
      <c r="J178">
        <v>26000</v>
      </c>
      <c r="K178">
        <v>21320</v>
      </c>
      <c r="L178">
        <v>4680</v>
      </c>
    </row>
    <row r="179" spans="1:12" x14ac:dyDescent="0.3">
      <c r="A179" t="s">
        <v>561</v>
      </c>
      <c r="B179" t="s">
        <v>562</v>
      </c>
      <c r="C179" t="s">
        <v>563</v>
      </c>
      <c r="D179" t="s">
        <v>34</v>
      </c>
      <c r="E179" t="s">
        <v>24</v>
      </c>
      <c r="F179" t="s">
        <v>52</v>
      </c>
      <c r="G179" t="s">
        <v>15</v>
      </c>
      <c r="H179">
        <v>6</v>
      </c>
      <c r="I179">
        <v>3000</v>
      </c>
      <c r="J179">
        <v>18000</v>
      </c>
      <c r="K179">
        <v>14760</v>
      </c>
      <c r="L179">
        <v>3240</v>
      </c>
    </row>
    <row r="180" spans="1:12" x14ac:dyDescent="0.3">
      <c r="A180" t="s">
        <v>564</v>
      </c>
      <c r="B180" t="s">
        <v>565</v>
      </c>
      <c r="C180" t="s">
        <v>566</v>
      </c>
      <c r="D180" t="s">
        <v>30</v>
      </c>
      <c r="E180" t="s">
        <v>13</v>
      </c>
      <c r="F180" t="s">
        <v>14</v>
      </c>
      <c r="G180" t="s">
        <v>84</v>
      </c>
      <c r="H180">
        <v>4</v>
      </c>
      <c r="I180">
        <v>12000</v>
      </c>
      <c r="J180">
        <v>48000</v>
      </c>
      <c r="K180">
        <v>39360</v>
      </c>
      <c r="L180">
        <v>8640</v>
      </c>
    </row>
    <row r="181" spans="1:12" x14ac:dyDescent="0.3">
      <c r="A181" t="s">
        <v>567</v>
      </c>
      <c r="B181" t="s">
        <v>568</v>
      </c>
      <c r="C181" t="s">
        <v>569</v>
      </c>
      <c r="D181" t="s">
        <v>42</v>
      </c>
      <c r="E181" t="s">
        <v>13</v>
      </c>
      <c r="F181" t="s">
        <v>52</v>
      </c>
      <c r="G181" t="s">
        <v>84</v>
      </c>
      <c r="H181">
        <v>6</v>
      </c>
      <c r="I181">
        <v>15000</v>
      </c>
      <c r="J181">
        <v>90000</v>
      </c>
      <c r="K181">
        <v>73800</v>
      </c>
      <c r="L181">
        <v>16200</v>
      </c>
    </row>
    <row r="182" spans="1:12" x14ac:dyDescent="0.3">
      <c r="A182" t="s">
        <v>570</v>
      </c>
      <c r="B182" t="s">
        <v>571</v>
      </c>
      <c r="C182" t="s">
        <v>572</v>
      </c>
      <c r="D182" t="s">
        <v>30</v>
      </c>
      <c r="E182" t="s">
        <v>13</v>
      </c>
      <c r="F182" t="s">
        <v>52</v>
      </c>
      <c r="G182" t="s">
        <v>84</v>
      </c>
      <c r="H182">
        <v>4</v>
      </c>
      <c r="I182">
        <v>12000</v>
      </c>
      <c r="J182">
        <v>48000</v>
      </c>
      <c r="K182">
        <v>39360</v>
      </c>
      <c r="L182">
        <v>8640</v>
      </c>
    </row>
    <row r="183" spans="1:12" x14ac:dyDescent="0.3">
      <c r="A183" t="s">
        <v>573</v>
      </c>
      <c r="B183" t="s">
        <v>574</v>
      </c>
      <c r="C183" t="s">
        <v>575</v>
      </c>
      <c r="D183" t="s">
        <v>59</v>
      </c>
      <c r="E183" t="s">
        <v>24</v>
      </c>
      <c r="F183" t="s">
        <v>25</v>
      </c>
      <c r="G183" t="s">
        <v>43</v>
      </c>
      <c r="H183">
        <v>8</v>
      </c>
      <c r="I183">
        <v>1500</v>
      </c>
      <c r="J183">
        <v>12000</v>
      </c>
      <c r="K183">
        <v>9840</v>
      </c>
      <c r="L183">
        <v>2160</v>
      </c>
    </row>
    <row r="184" spans="1:12" x14ac:dyDescent="0.3">
      <c r="A184" t="s">
        <v>576</v>
      </c>
      <c r="B184" t="s">
        <v>577</v>
      </c>
      <c r="C184" t="s">
        <v>578</v>
      </c>
      <c r="D184" t="s">
        <v>34</v>
      </c>
      <c r="E184" t="s">
        <v>24</v>
      </c>
      <c r="F184" t="s">
        <v>14</v>
      </c>
      <c r="G184" t="s">
        <v>84</v>
      </c>
      <c r="H184">
        <v>7</v>
      </c>
      <c r="I184">
        <v>3000</v>
      </c>
      <c r="J184">
        <v>21000</v>
      </c>
      <c r="K184">
        <v>17220</v>
      </c>
      <c r="L184">
        <v>3780</v>
      </c>
    </row>
    <row r="185" spans="1:12" x14ac:dyDescent="0.3">
      <c r="A185" t="s">
        <v>579</v>
      </c>
      <c r="B185" t="s">
        <v>580</v>
      </c>
      <c r="C185" t="s">
        <v>581</v>
      </c>
      <c r="D185" t="s">
        <v>106</v>
      </c>
      <c r="E185" t="s">
        <v>107</v>
      </c>
      <c r="F185" t="s">
        <v>52</v>
      </c>
      <c r="G185" t="s">
        <v>15</v>
      </c>
      <c r="H185">
        <v>8</v>
      </c>
      <c r="I185">
        <v>6500</v>
      </c>
      <c r="J185">
        <v>52000</v>
      </c>
      <c r="K185">
        <v>42640</v>
      </c>
      <c r="L185">
        <v>9360</v>
      </c>
    </row>
    <row r="186" spans="1:12" x14ac:dyDescent="0.3">
      <c r="A186" t="s">
        <v>582</v>
      </c>
      <c r="B186" t="s">
        <v>583</v>
      </c>
      <c r="C186" t="s">
        <v>584</v>
      </c>
      <c r="D186" t="s">
        <v>12</v>
      </c>
      <c r="E186" t="s">
        <v>13</v>
      </c>
      <c r="F186" t="s">
        <v>14</v>
      </c>
      <c r="G186" t="s">
        <v>15</v>
      </c>
      <c r="H186">
        <v>4</v>
      </c>
      <c r="I186">
        <v>50000</v>
      </c>
      <c r="J186">
        <v>200000</v>
      </c>
      <c r="K186">
        <v>164000</v>
      </c>
      <c r="L186">
        <v>36000</v>
      </c>
    </row>
    <row r="187" spans="1:12" x14ac:dyDescent="0.3">
      <c r="A187" t="s">
        <v>585</v>
      </c>
      <c r="B187" t="s">
        <v>586</v>
      </c>
      <c r="C187" t="s">
        <v>587</v>
      </c>
      <c r="D187" t="s">
        <v>30</v>
      </c>
      <c r="E187" t="s">
        <v>13</v>
      </c>
      <c r="F187" t="s">
        <v>38</v>
      </c>
      <c r="G187" t="s">
        <v>84</v>
      </c>
      <c r="H187">
        <v>9</v>
      </c>
      <c r="I187">
        <v>12000</v>
      </c>
      <c r="J187">
        <v>108000</v>
      </c>
      <c r="K187">
        <v>88560</v>
      </c>
      <c r="L187">
        <v>19440</v>
      </c>
    </row>
    <row r="188" spans="1:12" x14ac:dyDescent="0.3">
      <c r="A188" t="s">
        <v>588</v>
      </c>
      <c r="B188" t="s">
        <v>589</v>
      </c>
      <c r="C188" t="s">
        <v>590</v>
      </c>
      <c r="D188" t="s">
        <v>30</v>
      </c>
      <c r="E188" t="s">
        <v>13</v>
      </c>
      <c r="F188" t="s">
        <v>52</v>
      </c>
      <c r="G188" t="s">
        <v>15</v>
      </c>
      <c r="H188">
        <v>1</v>
      </c>
      <c r="I188">
        <v>12000</v>
      </c>
      <c r="J188">
        <v>12000</v>
      </c>
      <c r="K188">
        <v>9840</v>
      </c>
      <c r="L188">
        <v>2160</v>
      </c>
    </row>
    <row r="189" spans="1:12" x14ac:dyDescent="0.3">
      <c r="A189" t="s">
        <v>591</v>
      </c>
      <c r="B189" t="s">
        <v>592</v>
      </c>
      <c r="C189" t="s">
        <v>593</v>
      </c>
      <c r="D189" t="s">
        <v>50</v>
      </c>
      <c r="E189" t="s">
        <v>51</v>
      </c>
      <c r="F189" t="s">
        <v>52</v>
      </c>
      <c r="G189" t="s">
        <v>43</v>
      </c>
      <c r="H189">
        <v>8</v>
      </c>
      <c r="I189">
        <v>2200</v>
      </c>
      <c r="J189">
        <v>17600</v>
      </c>
      <c r="K189">
        <v>14432</v>
      </c>
      <c r="L189">
        <v>3168</v>
      </c>
    </row>
    <row r="190" spans="1:12" x14ac:dyDescent="0.3">
      <c r="A190" t="s">
        <v>594</v>
      </c>
      <c r="B190" t="s">
        <v>595</v>
      </c>
      <c r="C190" t="s">
        <v>596</v>
      </c>
      <c r="D190" t="s">
        <v>23</v>
      </c>
      <c r="E190" t="s">
        <v>24</v>
      </c>
      <c r="F190" t="s">
        <v>25</v>
      </c>
      <c r="G190" t="s">
        <v>43</v>
      </c>
      <c r="H190">
        <v>1</v>
      </c>
      <c r="I190">
        <v>800</v>
      </c>
      <c r="J190">
        <v>800</v>
      </c>
      <c r="K190">
        <v>656</v>
      </c>
      <c r="L190">
        <v>144</v>
      </c>
    </row>
    <row r="191" spans="1:12" x14ac:dyDescent="0.3">
      <c r="A191" t="s">
        <v>597</v>
      </c>
      <c r="B191" t="s">
        <v>598</v>
      </c>
      <c r="C191" t="s">
        <v>599</v>
      </c>
      <c r="D191" t="s">
        <v>106</v>
      </c>
      <c r="E191" t="s">
        <v>107</v>
      </c>
      <c r="F191" t="s">
        <v>38</v>
      </c>
      <c r="G191" t="s">
        <v>43</v>
      </c>
      <c r="H191">
        <v>7</v>
      </c>
      <c r="I191">
        <v>6500</v>
      </c>
      <c r="J191">
        <v>45500</v>
      </c>
      <c r="K191">
        <v>37310</v>
      </c>
      <c r="L191">
        <v>8190</v>
      </c>
    </row>
    <row r="192" spans="1:12" x14ac:dyDescent="0.3">
      <c r="A192" t="s">
        <v>600</v>
      </c>
      <c r="B192" t="s">
        <v>601</v>
      </c>
      <c r="C192" t="s">
        <v>602</v>
      </c>
      <c r="D192" t="s">
        <v>12</v>
      </c>
      <c r="E192" t="s">
        <v>13</v>
      </c>
      <c r="F192" t="s">
        <v>25</v>
      </c>
      <c r="G192" t="s">
        <v>15</v>
      </c>
      <c r="H192">
        <v>2</v>
      </c>
      <c r="I192">
        <v>50000</v>
      </c>
      <c r="J192">
        <v>100000</v>
      </c>
      <c r="K192">
        <v>82000</v>
      </c>
      <c r="L192">
        <v>18000</v>
      </c>
    </row>
    <row r="193" spans="1:12" x14ac:dyDescent="0.3">
      <c r="A193" t="s">
        <v>603</v>
      </c>
      <c r="B193" t="s">
        <v>604</v>
      </c>
      <c r="C193" t="s">
        <v>605</v>
      </c>
      <c r="D193" t="s">
        <v>106</v>
      </c>
      <c r="E193" t="s">
        <v>107</v>
      </c>
      <c r="F193" t="s">
        <v>25</v>
      </c>
      <c r="G193" t="s">
        <v>15</v>
      </c>
      <c r="H193">
        <v>1</v>
      </c>
      <c r="I193">
        <v>6500</v>
      </c>
      <c r="J193">
        <v>6500</v>
      </c>
      <c r="K193">
        <v>5330</v>
      </c>
      <c r="L193">
        <v>1170</v>
      </c>
    </row>
    <row r="194" spans="1:12" x14ac:dyDescent="0.3">
      <c r="A194" t="s">
        <v>606</v>
      </c>
      <c r="B194" t="s">
        <v>607</v>
      </c>
      <c r="C194" t="s">
        <v>608</v>
      </c>
      <c r="D194" t="s">
        <v>50</v>
      </c>
      <c r="E194" t="s">
        <v>51</v>
      </c>
      <c r="F194" t="s">
        <v>25</v>
      </c>
      <c r="G194" t="s">
        <v>43</v>
      </c>
      <c r="H194">
        <v>5</v>
      </c>
      <c r="I194">
        <v>2200</v>
      </c>
      <c r="J194">
        <v>11000</v>
      </c>
      <c r="K194">
        <v>9020</v>
      </c>
      <c r="L194">
        <v>1980</v>
      </c>
    </row>
    <row r="195" spans="1:12" x14ac:dyDescent="0.3">
      <c r="A195" t="s">
        <v>609</v>
      </c>
      <c r="B195" t="s">
        <v>610</v>
      </c>
      <c r="C195" t="s">
        <v>611</v>
      </c>
      <c r="D195" t="s">
        <v>50</v>
      </c>
      <c r="E195" t="s">
        <v>51</v>
      </c>
      <c r="F195" t="s">
        <v>14</v>
      </c>
      <c r="G195" t="s">
        <v>84</v>
      </c>
      <c r="H195">
        <v>2</v>
      </c>
      <c r="I195">
        <v>2200</v>
      </c>
      <c r="J195">
        <v>4400</v>
      </c>
      <c r="K195">
        <v>3608</v>
      </c>
      <c r="L195">
        <v>792</v>
      </c>
    </row>
    <row r="196" spans="1:12" x14ac:dyDescent="0.3">
      <c r="A196" t="s">
        <v>612</v>
      </c>
      <c r="B196" t="s">
        <v>613</v>
      </c>
      <c r="C196" t="s">
        <v>614</v>
      </c>
      <c r="D196" t="s">
        <v>30</v>
      </c>
      <c r="E196" t="s">
        <v>13</v>
      </c>
      <c r="F196" t="s">
        <v>25</v>
      </c>
      <c r="G196" t="s">
        <v>15</v>
      </c>
      <c r="H196">
        <v>3</v>
      </c>
      <c r="I196">
        <v>12000</v>
      </c>
      <c r="J196">
        <v>36000</v>
      </c>
      <c r="K196">
        <v>29520</v>
      </c>
      <c r="L196">
        <v>6480</v>
      </c>
    </row>
    <row r="197" spans="1:12" x14ac:dyDescent="0.3">
      <c r="A197" t="s">
        <v>615</v>
      </c>
      <c r="B197" t="s">
        <v>616</v>
      </c>
      <c r="C197" t="s">
        <v>617</v>
      </c>
      <c r="D197" t="s">
        <v>12</v>
      </c>
      <c r="E197" t="s">
        <v>13</v>
      </c>
      <c r="F197" t="s">
        <v>38</v>
      </c>
      <c r="G197" t="s">
        <v>15</v>
      </c>
      <c r="H197">
        <v>5</v>
      </c>
      <c r="I197">
        <v>50000</v>
      </c>
      <c r="J197">
        <v>250000</v>
      </c>
      <c r="K197">
        <v>205000</v>
      </c>
      <c r="L197">
        <v>45000</v>
      </c>
    </row>
    <row r="198" spans="1:12" x14ac:dyDescent="0.3">
      <c r="A198" t="s">
        <v>618</v>
      </c>
      <c r="B198" t="s">
        <v>619</v>
      </c>
      <c r="C198" t="s">
        <v>620</v>
      </c>
      <c r="D198" t="s">
        <v>12</v>
      </c>
      <c r="E198" t="s">
        <v>13</v>
      </c>
      <c r="F198" t="s">
        <v>38</v>
      </c>
      <c r="G198" t="s">
        <v>15</v>
      </c>
      <c r="H198">
        <v>7</v>
      </c>
      <c r="I198">
        <v>50000</v>
      </c>
      <c r="J198">
        <v>350000</v>
      </c>
      <c r="K198">
        <v>287000</v>
      </c>
      <c r="L198">
        <v>63000</v>
      </c>
    </row>
    <row r="199" spans="1:12" x14ac:dyDescent="0.3">
      <c r="A199" t="s">
        <v>621</v>
      </c>
      <c r="B199" t="s">
        <v>622</v>
      </c>
      <c r="C199" t="s">
        <v>623</v>
      </c>
      <c r="D199" t="s">
        <v>42</v>
      </c>
      <c r="E199" t="s">
        <v>13</v>
      </c>
      <c r="F199" t="s">
        <v>38</v>
      </c>
      <c r="G199" t="s">
        <v>15</v>
      </c>
      <c r="H199">
        <v>3</v>
      </c>
      <c r="I199">
        <v>15000</v>
      </c>
      <c r="J199">
        <v>45000</v>
      </c>
      <c r="K199">
        <v>36900</v>
      </c>
      <c r="L199">
        <v>8100</v>
      </c>
    </row>
    <row r="200" spans="1:12" x14ac:dyDescent="0.3">
      <c r="A200" t="s">
        <v>624</v>
      </c>
      <c r="B200" t="s">
        <v>625</v>
      </c>
      <c r="C200" t="s">
        <v>626</v>
      </c>
      <c r="D200" t="s">
        <v>23</v>
      </c>
      <c r="E200" t="s">
        <v>24</v>
      </c>
      <c r="F200" t="s">
        <v>25</v>
      </c>
      <c r="G200" t="s">
        <v>15</v>
      </c>
      <c r="H200">
        <v>5</v>
      </c>
      <c r="I200">
        <v>800</v>
      </c>
      <c r="J200">
        <v>4000</v>
      </c>
      <c r="K200">
        <v>3280</v>
      </c>
      <c r="L200">
        <v>720</v>
      </c>
    </row>
    <row r="201" spans="1:12" x14ac:dyDescent="0.3">
      <c r="A201" t="s">
        <v>627</v>
      </c>
      <c r="B201" t="s">
        <v>628</v>
      </c>
      <c r="C201" t="s">
        <v>629</v>
      </c>
      <c r="D201" t="s">
        <v>106</v>
      </c>
      <c r="E201" t="s">
        <v>107</v>
      </c>
      <c r="F201" t="s">
        <v>52</v>
      </c>
      <c r="G201" t="s">
        <v>15</v>
      </c>
      <c r="H201">
        <v>10</v>
      </c>
      <c r="I201">
        <v>6500</v>
      </c>
      <c r="J201">
        <v>65000</v>
      </c>
      <c r="K201">
        <v>53300</v>
      </c>
      <c r="L201">
        <v>11700</v>
      </c>
    </row>
    <row r="202" spans="1:12" x14ac:dyDescent="0.3">
      <c r="A202" t="s">
        <v>630</v>
      </c>
      <c r="B202" t="s">
        <v>631</v>
      </c>
      <c r="C202" t="s">
        <v>632</v>
      </c>
      <c r="D202" t="s">
        <v>42</v>
      </c>
      <c r="E202" t="s">
        <v>13</v>
      </c>
      <c r="F202" t="s">
        <v>38</v>
      </c>
      <c r="G202" t="s">
        <v>19</v>
      </c>
      <c r="H202">
        <v>1</v>
      </c>
      <c r="I202">
        <v>15000</v>
      </c>
      <c r="J202">
        <v>15000</v>
      </c>
      <c r="K202">
        <v>12300</v>
      </c>
      <c r="L202">
        <v>2700</v>
      </c>
    </row>
    <row r="203" spans="1:12" x14ac:dyDescent="0.3">
      <c r="A203" t="s">
        <v>633</v>
      </c>
      <c r="B203" t="s">
        <v>634</v>
      </c>
      <c r="C203" t="s">
        <v>635</v>
      </c>
      <c r="D203" t="s">
        <v>30</v>
      </c>
      <c r="E203" t="s">
        <v>13</v>
      </c>
      <c r="F203" t="s">
        <v>25</v>
      </c>
      <c r="G203" t="s">
        <v>43</v>
      </c>
      <c r="H203">
        <v>3</v>
      </c>
      <c r="I203">
        <v>12000</v>
      </c>
      <c r="J203">
        <v>36000</v>
      </c>
      <c r="K203">
        <v>29520</v>
      </c>
      <c r="L203">
        <v>6480</v>
      </c>
    </row>
    <row r="204" spans="1:12" x14ac:dyDescent="0.3">
      <c r="A204" t="s">
        <v>636</v>
      </c>
      <c r="B204" t="s">
        <v>637</v>
      </c>
      <c r="C204" t="s">
        <v>638</v>
      </c>
      <c r="D204" t="s">
        <v>50</v>
      </c>
      <c r="E204" t="s">
        <v>51</v>
      </c>
      <c r="F204" t="s">
        <v>38</v>
      </c>
      <c r="G204" t="s">
        <v>19</v>
      </c>
      <c r="H204">
        <v>5</v>
      </c>
      <c r="I204">
        <v>2200</v>
      </c>
      <c r="J204">
        <v>11000</v>
      </c>
      <c r="K204">
        <v>9020</v>
      </c>
      <c r="L204">
        <v>1980</v>
      </c>
    </row>
    <row r="205" spans="1:12" x14ac:dyDescent="0.3">
      <c r="A205" t="s">
        <v>639</v>
      </c>
      <c r="B205" t="s">
        <v>640</v>
      </c>
      <c r="C205" t="s">
        <v>641</v>
      </c>
      <c r="D205" t="s">
        <v>59</v>
      </c>
      <c r="E205" t="s">
        <v>24</v>
      </c>
      <c r="F205" t="s">
        <v>38</v>
      </c>
      <c r="G205" t="s">
        <v>43</v>
      </c>
      <c r="H205">
        <v>4</v>
      </c>
      <c r="I205">
        <v>1500</v>
      </c>
      <c r="J205">
        <v>6000</v>
      </c>
      <c r="K205">
        <v>4920</v>
      </c>
      <c r="L205">
        <v>1080</v>
      </c>
    </row>
    <row r="206" spans="1:12" x14ac:dyDescent="0.3">
      <c r="A206" t="s">
        <v>642</v>
      </c>
      <c r="B206" t="s">
        <v>643</v>
      </c>
      <c r="C206" t="s">
        <v>644</v>
      </c>
      <c r="D206" t="s">
        <v>23</v>
      </c>
      <c r="E206" t="s">
        <v>24</v>
      </c>
      <c r="F206" t="s">
        <v>38</v>
      </c>
      <c r="G206" t="s">
        <v>26</v>
      </c>
      <c r="H206">
        <v>7</v>
      </c>
      <c r="I206">
        <v>800</v>
      </c>
      <c r="J206">
        <v>5600</v>
      </c>
      <c r="K206">
        <v>4592</v>
      </c>
      <c r="L206">
        <v>1008</v>
      </c>
    </row>
    <row r="207" spans="1:12" x14ac:dyDescent="0.3">
      <c r="A207" t="s">
        <v>645</v>
      </c>
      <c r="B207" t="s">
        <v>646</v>
      </c>
      <c r="C207" t="s">
        <v>647</v>
      </c>
      <c r="D207" t="s">
        <v>42</v>
      </c>
      <c r="E207" t="s">
        <v>13</v>
      </c>
      <c r="F207" t="s">
        <v>25</v>
      </c>
      <c r="G207" t="s">
        <v>19</v>
      </c>
      <c r="H207">
        <v>7</v>
      </c>
      <c r="I207">
        <v>15000</v>
      </c>
      <c r="J207">
        <v>105000</v>
      </c>
      <c r="K207">
        <v>86100</v>
      </c>
      <c r="L207">
        <v>18900</v>
      </c>
    </row>
    <row r="208" spans="1:12" x14ac:dyDescent="0.3">
      <c r="A208" t="s">
        <v>648</v>
      </c>
      <c r="B208" t="s">
        <v>649</v>
      </c>
      <c r="C208" t="s">
        <v>650</v>
      </c>
      <c r="D208" t="s">
        <v>34</v>
      </c>
      <c r="E208" t="s">
        <v>24</v>
      </c>
      <c r="F208" t="s">
        <v>52</v>
      </c>
      <c r="G208" t="s">
        <v>19</v>
      </c>
      <c r="H208">
        <v>8</v>
      </c>
      <c r="I208">
        <v>3000</v>
      </c>
      <c r="J208">
        <v>24000</v>
      </c>
      <c r="K208">
        <v>19680</v>
      </c>
      <c r="L208">
        <v>4320</v>
      </c>
    </row>
    <row r="209" spans="1:12" x14ac:dyDescent="0.3">
      <c r="A209" t="s">
        <v>651</v>
      </c>
      <c r="B209" t="s">
        <v>652</v>
      </c>
      <c r="C209" t="s">
        <v>653</v>
      </c>
      <c r="D209" t="s">
        <v>59</v>
      </c>
      <c r="E209" t="s">
        <v>24</v>
      </c>
      <c r="F209" t="s">
        <v>14</v>
      </c>
      <c r="G209" t="s">
        <v>19</v>
      </c>
      <c r="H209">
        <v>1</v>
      </c>
      <c r="I209">
        <v>1500</v>
      </c>
      <c r="J209">
        <v>1500</v>
      </c>
      <c r="K209">
        <v>1230</v>
      </c>
      <c r="L209">
        <v>270</v>
      </c>
    </row>
    <row r="210" spans="1:12" x14ac:dyDescent="0.3">
      <c r="A210" t="s">
        <v>654</v>
      </c>
      <c r="B210" t="s">
        <v>655</v>
      </c>
      <c r="C210" t="s">
        <v>656</v>
      </c>
      <c r="D210" t="s">
        <v>59</v>
      </c>
      <c r="E210" t="s">
        <v>24</v>
      </c>
      <c r="F210" t="s">
        <v>52</v>
      </c>
      <c r="G210" t="s">
        <v>19</v>
      </c>
      <c r="H210">
        <v>5</v>
      </c>
      <c r="I210">
        <v>1500</v>
      </c>
      <c r="J210">
        <v>7500</v>
      </c>
      <c r="K210">
        <v>6150</v>
      </c>
      <c r="L210">
        <v>1350</v>
      </c>
    </row>
    <row r="211" spans="1:12" x14ac:dyDescent="0.3">
      <c r="A211" t="s">
        <v>657</v>
      </c>
      <c r="B211" t="s">
        <v>658</v>
      </c>
      <c r="C211" t="s">
        <v>659</v>
      </c>
      <c r="D211" t="s">
        <v>50</v>
      </c>
      <c r="E211" t="s">
        <v>51</v>
      </c>
      <c r="F211" t="s">
        <v>52</v>
      </c>
      <c r="G211" t="s">
        <v>15</v>
      </c>
      <c r="H211">
        <v>10</v>
      </c>
      <c r="I211">
        <v>2200</v>
      </c>
      <c r="J211">
        <v>22000</v>
      </c>
      <c r="K211">
        <v>18040</v>
      </c>
      <c r="L211">
        <v>3960</v>
      </c>
    </row>
    <row r="212" spans="1:12" x14ac:dyDescent="0.3">
      <c r="A212" t="s">
        <v>660</v>
      </c>
      <c r="B212" t="s">
        <v>661</v>
      </c>
      <c r="C212" t="s">
        <v>662</v>
      </c>
      <c r="D212" t="s">
        <v>30</v>
      </c>
      <c r="E212" t="s">
        <v>13</v>
      </c>
      <c r="F212" t="s">
        <v>52</v>
      </c>
      <c r="G212" t="s">
        <v>84</v>
      </c>
      <c r="H212">
        <v>10</v>
      </c>
      <c r="I212">
        <v>12000</v>
      </c>
      <c r="J212">
        <v>120000</v>
      </c>
      <c r="K212">
        <v>98400</v>
      </c>
      <c r="L212">
        <v>21600</v>
      </c>
    </row>
    <row r="213" spans="1:12" x14ac:dyDescent="0.3">
      <c r="A213" t="s">
        <v>663</v>
      </c>
      <c r="B213" t="s">
        <v>664</v>
      </c>
      <c r="C213" t="s">
        <v>665</v>
      </c>
      <c r="D213" t="s">
        <v>59</v>
      </c>
      <c r="E213" t="s">
        <v>24</v>
      </c>
      <c r="F213" t="s">
        <v>25</v>
      </c>
      <c r="G213" t="s">
        <v>43</v>
      </c>
      <c r="H213">
        <v>5</v>
      </c>
      <c r="I213">
        <v>1500</v>
      </c>
      <c r="J213">
        <v>7500</v>
      </c>
      <c r="K213">
        <v>6150</v>
      </c>
      <c r="L213">
        <v>1350</v>
      </c>
    </row>
    <row r="214" spans="1:12" x14ac:dyDescent="0.3">
      <c r="A214" t="s">
        <v>666</v>
      </c>
      <c r="B214" t="s">
        <v>667</v>
      </c>
      <c r="C214" t="s">
        <v>668</v>
      </c>
      <c r="D214" t="s">
        <v>106</v>
      </c>
      <c r="E214" t="s">
        <v>107</v>
      </c>
      <c r="F214" t="s">
        <v>38</v>
      </c>
      <c r="G214" t="s">
        <v>19</v>
      </c>
      <c r="H214">
        <v>3</v>
      </c>
      <c r="I214">
        <v>6500</v>
      </c>
      <c r="J214">
        <v>19500</v>
      </c>
      <c r="K214">
        <v>15989</v>
      </c>
      <c r="L214">
        <v>3511</v>
      </c>
    </row>
    <row r="215" spans="1:12" x14ac:dyDescent="0.3">
      <c r="A215" t="s">
        <v>669</v>
      </c>
      <c r="B215" t="s">
        <v>670</v>
      </c>
      <c r="C215" t="s">
        <v>671</v>
      </c>
      <c r="D215" t="s">
        <v>23</v>
      </c>
      <c r="E215" t="s">
        <v>24</v>
      </c>
      <c r="F215" t="s">
        <v>25</v>
      </c>
      <c r="G215" t="s">
        <v>26</v>
      </c>
      <c r="H215">
        <v>2</v>
      </c>
      <c r="I215">
        <v>800</v>
      </c>
      <c r="J215">
        <v>1600</v>
      </c>
      <c r="K215">
        <v>1312</v>
      </c>
      <c r="L215">
        <v>288</v>
      </c>
    </row>
    <row r="216" spans="1:12" x14ac:dyDescent="0.3">
      <c r="A216" t="s">
        <v>672</v>
      </c>
      <c r="B216" t="s">
        <v>673</v>
      </c>
      <c r="C216" t="s">
        <v>674</v>
      </c>
      <c r="D216" t="s">
        <v>34</v>
      </c>
      <c r="E216" t="s">
        <v>24</v>
      </c>
      <c r="F216" t="s">
        <v>14</v>
      </c>
      <c r="G216" t="s">
        <v>19</v>
      </c>
      <c r="H216">
        <v>5</v>
      </c>
      <c r="I216">
        <v>3000</v>
      </c>
      <c r="J216">
        <v>15000</v>
      </c>
      <c r="K216">
        <v>12300</v>
      </c>
      <c r="L216">
        <v>2700</v>
      </c>
    </row>
    <row r="217" spans="1:12" x14ac:dyDescent="0.3">
      <c r="A217" t="s">
        <v>675</v>
      </c>
      <c r="B217" t="s">
        <v>676</v>
      </c>
      <c r="C217" t="s">
        <v>677</v>
      </c>
      <c r="D217" t="s">
        <v>50</v>
      </c>
      <c r="E217" t="s">
        <v>51</v>
      </c>
      <c r="F217" t="s">
        <v>38</v>
      </c>
      <c r="G217" t="s">
        <v>15</v>
      </c>
      <c r="H217">
        <v>8</v>
      </c>
      <c r="I217">
        <v>2200</v>
      </c>
      <c r="J217">
        <v>17600</v>
      </c>
      <c r="K217">
        <v>14432</v>
      </c>
      <c r="L217">
        <v>3168</v>
      </c>
    </row>
    <row r="218" spans="1:12" x14ac:dyDescent="0.3">
      <c r="A218" t="s">
        <v>678</v>
      </c>
      <c r="B218" t="s">
        <v>679</v>
      </c>
      <c r="C218" t="s">
        <v>680</v>
      </c>
      <c r="D218" t="s">
        <v>50</v>
      </c>
      <c r="E218" t="s">
        <v>51</v>
      </c>
      <c r="F218" t="s">
        <v>52</v>
      </c>
      <c r="G218" t="s">
        <v>15</v>
      </c>
      <c r="H218">
        <v>6</v>
      </c>
      <c r="I218">
        <v>2200</v>
      </c>
      <c r="J218">
        <v>13200</v>
      </c>
      <c r="K218">
        <v>10824</v>
      </c>
      <c r="L218">
        <v>2376</v>
      </c>
    </row>
    <row r="219" spans="1:12" x14ac:dyDescent="0.3">
      <c r="A219" t="s">
        <v>681</v>
      </c>
      <c r="B219" t="s">
        <v>682</v>
      </c>
      <c r="C219" t="s">
        <v>683</v>
      </c>
      <c r="D219" t="s">
        <v>50</v>
      </c>
      <c r="E219" t="s">
        <v>51</v>
      </c>
      <c r="F219" t="s">
        <v>25</v>
      </c>
      <c r="G219" t="s">
        <v>84</v>
      </c>
      <c r="H219">
        <v>4</v>
      </c>
      <c r="I219">
        <v>2200</v>
      </c>
      <c r="J219">
        <v>8800</v>
      </c>
      <c r="K219">
        <v>7216</v>
      </c>
      <c r="L219">
        <v>1584</v>
      </c>
    </row>
    <row r="220" spans="1:12" x14ac:dyDescent="0.3">
      <c r="A220" t="s">
        <v>684</v>
      </c>
      <c r="B220" t="s">
        <v>685</v>
      </c>
      <c r="C220" t="s">
        <v>686</v>
      </c>
      <c r="D220" t="s">
        <v>34</v>
      </c>
      <c r="E220" t="s">
        <v>24</v>
      </c>
      <c r="F220" t="s">
        <v>52</v>
      </c>
      <c r="G220" t="s">
        <v>19</v>
      </c>
      <c r="H220">
        <v>1</v>
      </c>
      <c r="I220">
        <v>3000</v>
      </c>
      <c r="J220">
        <v>3000</v>
      </c>
      <c r="K220">
        <v>2460</v>
      </c>
      <c r="L220">
        <v>540</v>
      </c>
    </row>
    <row r="221" spans="1:12" x14ac:dyDescent="0.3">
      <c r="A221" t="s">
        <v>687</v>
      </c>
      <c r="B221" t="s">
        <v>688</v>
      </c>
      <c r="C221" t="s">
        <v>689</v>
      </c>
      <c r="D221" t="s">
        <v>23</v>
      </c>
      <c r="E221" t="s">
        <v>24</v>
      </c>
      <c r="F221" t="s">
        <v>25</v>
      </c>
      <c r="G221" t="s">
        <v>15</v>
      </c>
      <c r="H221">
        <v>10</v>
      </c>
      <c r="I221">
        <v>800</v>
      </c>
      <c r="J221">
        <v>8000</v>
      </c>
      <c r="K221">
        <v>6560</v>
      </c>
      <c r="L221">
        <v>1440</v>
      </c>
    </row>
    <row r="222" spans="1:12" x14ac:dyDescent="0.3">
      <c r="A222" t="s">
        <v>690</v>
      </c>
      <c r="B222" t="s">
        <v>691</v>
      </c>
      <c r="C222" t="s">
        <v>692</v>
      </c>
      <c r="D222" t="s">
        <v>59</v>
      </c>
      <c r="E222" t="s">
        <v>24</v>
      </c>
      <c r="F222" t="s">
        <v>52</v>
      </c>
      <c r="G222" t="s">
        <v>26</v>
      </c>
      <c r="H222">
        <v>3</v>
      </c>
      <c r="I222">
        <v>1500</v>
      </c>
      <c r="J222">
        <v>4500</v>
      </c>
      <c r="K222">
        <v>3690</v>
      </c>
      <c r="L222">
        <v>810</v>
      </c>
    </row>
    <row r="223" spans="1:12" x14ac:dyDescent="0.3">
      <c r="A223" t="s">
        <v>693</v>
      </c>
      <c r="B223" t="s">
        <v>694</v>
      </c>
      <c r="C223" t="s">
        <v>695</v>
      </c>
      <c r="D223" t="s">
        <v>106</v>
      </c>
      <c r="E223" t="s">
        <v>107</v>
      </c>
      <c r="F223" t="s">
        <v>25</v>
      </c>
      <c r="G223" t="s">
        <v>84</v>
      </c>
      <c r="H223">
        <v>10</v>
      </c>
      <c r="I223">
        <v>6500</v>
      </c>
      <c r="J223">
        <v>65000</v>
      </c>
      <c r="K223">
        <v>53300</v>
      </c>
      <c r="L223">
        <v>11700</v>
      </c>
    </row>
    <row r="224" spans="1:12" x14ac:dyDescent="0.3">
      <c r="A224" t="s">
        <v>696</v>
      </c>
      <c r="B224" t="s">
        <v>697</v>
      </c>
      <c r="C224" t="s">
        <v>698</v>
      </c>
      <c r="D224" t="s">
        <v>50</v>
      </c>
      <c r="E224" t="s">
        <v>51</v>
      </c>
      <c r="F224" t="s">
        <v>38</v>
      </c>
      <c r="G224" t="s">
        <v>19</v>
      </c>
      <c r="H224">
        <v>10</v>
      </c>
      <c r="I224">
        <v>2200</v>
      </c>
      <c r="J224">
        <v>22000</v>
      </c>
      <c r="K224">
        <v>18040</v>
      </c>
      <c r="L224">
        <v>3960</v>
      </c>
    </row>
    <row r="225" spans="1:12" x14ac:dyDescent="0.3">
      <c r="A225" t="s">
        <v>699</v>
      </c>
      <c r="B225" t="s">
        <v>700</v>
      </c>
      <c r="C225" t="s">
        <v>701</v>
      </c>
      <c r="D225" t="s">
        <v>42</v>
      </c>
      <c r="E225" t="s">
        <v>13</v>
      </c>
      <c r="F225" t="s">
        <v>14</v>
      </c>
      <c r="G225" t="s">
        <v>15</v>
      </c>
      <c r="H225">
        <v>1</v>
      </c>
      <c r="I225">
        <v>15000</v>
      </c>
      <c r="J225">
        <v>15000</v>
      </c>
      <c r="K225">
        <v>12300</v>
      </c>
      <c r="L225">
        <v>2700</v>
      </c>
    </row>
    <row r="226" spans="1:12" x14ac:dyDescent="0.3">
      <c r="A226" t="s">
        <v>702</v>
      </c>
      <c r="B226" t="s">
        <v>703</v>
      </c>
      <c r="C226" t="s">
        <v>704</v>
      </c>
      <c r="D226" t="s">
        <v>34</v>
      </c>
      <c r="E226" t="s">
        <v>24</v>
      </c>
      <c r="F226" t="s">
        <v>14</v>
      </c>
      <c r="G226" t="s">
        <v>84</v>
      </c>
      <c r="H226">
        <v>3</v>
      </c>
      <c r="I226">
        <v>3000</v>
      </c>
      <c r="J226">
        <v>9000</v>
      </c>
      <c r="K226">
        <v>7380</v>
      </c>
      <c r="L226">
        <v>1620</v>
      </c>
    </row>
    <row r="227" spans="1:12" x14ac:dyDescent="0.3">
      <c r="A227" t="s">
        <v>705</v>
      </c>
      <c r="B227" t="s">
        <v>706</v>
      </c>
      <c r="C227" t="s">
        <v>707</v>
      </c>
      <c r="D227" t="s">
        <v>30</v>
      </c>
      <c r="E227" t="s">
        <v>13</v>
      </c>
      <c r="F227" t="s">
        <v>52</v>
      </c>
      <c r="G227" t="s">
        <v>84</v>
      </c>
      <c r="H227">
        <v>8</v>
      </c>
      <c r="I227">
        <v>12000</v>
      </c>
      <c r="J227">
        <v>96000</v>
      </c>
      <c r="K227">
        <v>78720</v>
      </c>
      <c r="L227">
        <v>17280</v>
      </c>
    </row>
    <row r="228" spans="1:12" x14ac:dyDescent="0.3">
      <c r="A228" t="s">
        <v>708</v>
      </c>
      <c r="B228" t="s">
        <v>709</v>
      </c>
      <c r="C228" t="s">
        <v>710</v>
      </c>
      <c r="D228" t="s">
        <v>42</v>
      </c>
      <c r="E228" t="s">
        <v>13</v>
      </c>
      <c r="F228" t="s">
        <v>38</v>
      </c>
      <c r="G228" t="s">
        <v>26</v>
      </c>
      <c r="H228">
        <v>7</v>
      </c>
      <c r="I228">
        <v>15000</v>
      </c>
      <c r="J228">
        <v>105000</v>
      </c>
      <c r="K228">
        <v>86100</v>
      </c>
      <c r="L228">
        <v>18900</v>
      </c>
    </row>
    <row r="229" spans="1:12" x14ac:dyDescent="0.3">
      <c r="A229" t="s">
        <v>711</v>
      </c>
      <c r="B229" t="s">
        <v>712</v>
      </c>
      <c r="C229" t="s">
        <v>713</v>
      </c>
      <c r="D229" t="s">
        <v>34</v>
      </c>
      <c r="E229" t="s">
        <v>24</v>
      </c>
      <c r="F229" t="s">
        <v>52</v>
      </c>
      <c r="G229" t="s">
        <v>15</v>
      </c>
      <c r="H229">
        <v>7</v>
      </c>
      <c r="I229">
        <v>3000</v>
      </c>
      <c r="J229">
        <v>21000</v>
      </c>
      <c r="K229">
        <v>17220</v>
      </c>
      <c r="L229">
        <v>3780</v>
      </c>
    </row>
    <row r="230" spans="1:12" x14ac:dyDescent="0.3">
      <c r="A230" t="s">
        <v>714</v>
      </c>
      <c r="B230" t="s">
        <v>715</v>
      </c>
      <c r="C230" t="s">
        <v>716</v>
      </c>
      <c r="D230" t="s">
        <v>50</v>
      </c>
      <c r="E230" t="s">
        <v>51</v>
      </c>
      <c r="F230" t="s">
        <v>14</v>
      </c>
      <c r="G230" t="s">
        <v>19</v>
      </c>
      <c r="H230">
        <v>2</v>
      </c>
      <c r="I230">
        <v>2200</v>
      </c>
      <c r="J230">
        <v>4400</v>
      </c>
      <c r="K230">
        <v>3608</v>
      </c>
      <c r="L230">
        <v>792</v>
      </c>
    </row>
    <row r="231" spans="1:12" x14ac:dyDescent="0.3">
      <c r="A231" t="s">
        <v>717</v>
      </c>
      <c r="B231" t="s">
        <v>718</v>
      </c>
      <c r="C231" t="s">
        <v>719</v>
      </c>
      <c r="D231" t="s">
        <v>23</v>
      </c>
      <c r="E231" t="s">
        <v>24</v>
      </c>
      <c r="F231" t="s">
        <v>25</v>
      </c>
      <c r="G231" t="s">
        <v>43</v>
      </c>
      <c r="H231">
        <v>10</v>
      </c>
      <c r="I231">
        <v>800</v>
      </c>
      <c r="J231">
        <v>8000</v>
      </c>
      <c r="K231">
        <v>6560</v>
      </c>
      <c r="L231">
        <v>1440</v>
      </c>
    </row>
    <row r="232" spans="1:12" x14ac:dyDescent="0.3">
      <c r="A232" t="s">
        <v>720</v>
      </c>
      <c r="B232" t="s">
        <v>721</v>
      </c>
      <c r="C232" t="s">
        <v>722</v>
      </c>
      <c r="D232" t="s">
        <v>12</v>
      </c>
      <c r="E232" t="s">
        <v>13</v>
      </c>
      <c r="F232" t="s">
        <v>25</v>
      </c>
      <c r="G232" t="s">
        <v>84</v>
      </c>
      <c r="H232">
        <v>10</v>
      </c>
      <c r="I232">
        <v>50000</v>
      </c>
      <c r="J232">
        <v>500000</v>
      </c>
      <c r="K232">
        <v>410000</v>
      </c>
      <c r="L232">
        <v>90000</v>
      </c>
    </row>
    <row r="233" spans="1:12" x14ac:dyDescent="0.3">
      <c r="A233" t="s">
        <v>723</v>
      </c>
      <c r="B233" t="s">
        <v>724</v>
      </c>
      <c r="C233" t="s">
        <v>725</v>
      </c>
      <c r="D233" t="s">
        <v>42</v>
      </c>
      <c r="E233" t="s">
        <v>13</v>
      </c>
      <c r="F233" t="s">
        <v>25</v>
      </c>
      <c r="G233" t="s">
        <v>26</v>
      </c>
      <c r="H233">
        <v>7</v>
      </c>
      <c r="I233">
        <v>15000</v>
      </c>
      <c r="J233">
        <v>105000</v>
      </c>
      <c r="K233">
        <v>86100</v>
      </c>
      <c r="L233">
        <v>18900</v>
      </c>
    </row>
    <row r="234" spans="1:12" x14ac:dyDescent="0.3">
      <c r="A234" t="s">
        <v>726</v>
      </c>
      <c r="B234" t="s">
        <v>727</v>
      </c>
      <c r="C234" t="s">
        <v>728</v>
      </c>
      <c r="D234" t="s">
        <v>59</v>
      </c>
      <c r="E234" t="s">
        <v>24</v>
      </c>
      <c r="F234" t="s">
        <v>25</v>
      </c>
      <c r="G234" t="s">
        <v>15</v>
      </c>
      <c r="H234">
        <v>5</v>
      </c>
      <c r="I234">
        <v>1500</v>
      </c>
      <c r="J234">
        <v>7500</v>
      </c>
      <c r="K234">
        <v>6150</v>
      </c>
      <c r="L234">
        <v>1350</v>
      </c>
    </row>
    <row r="235" spans="1:12" x14ac:dyDescent="0.3">
      <c r="A235" t="s">
        <v>729</v>
      </c>
      <c r="B235" t="s">
        <v>730</v>
      </c>
      <c r="C235" t="s">
        <v>731</v>
      </c>
      <c r="D235" t="s">
        <v>42</v>
      </c>
      <c r="E235" t="s">
        <v>13</v>
      </c>
      <c r="F235" t="s">
        <v>38</v>
      </c>
      <c r="G235" t="s">
        <v>26</v>
      </c>
      <c r="H235">
        <v>2</v>
      </c>
      <c r="I235">
        <v>15000</v>
      </c>
      <c r="J235">
        <v>30000</v>
      </c>
      <c r="K235">
        <v>24600</v>
      </c>
      <c r="L235">
        <v>5400</v>
      </c>
    </row>
    <row r="236" spans="1:12" x14ac:dyDescent="0.3">
      <c r="A236" t="s">
        <v>732</v>
      </c>
      <c r="B236" t="s">
        <v>733</v>
      </c>
      <c r="C236" t="s">
        <v>734</v>
      </c>
      <c r="D236" t="s">
        <v>23</v>
      </c>
      <c r="E236" t="s">
        <v>24</v>
      </c>
      <c r="F236" t="s">
        <v>14</v>
      </c>
      <c r="G236" t="s">
        <v>26</v>
      </c>
      <c r="H236">
        <v>6</v>
      </c>
      <c r="I236">
        <v>800</v>
      </c>
      <c r="J236">
        <v>4800</v>
      </c>
      <c r="K236">
        <v>3935</v>
      </c>
      <c r="L236">
        <v>865</v>
      </c>
    </row>
    <row r="237" spans="1:12" x14ac:dyDescent="0.3">
      <c r="A237" t="s">
        <v>735</v>
      </c>
      <c r="B237" t="s">
        <v>736</v>
      </c>
      <c r="C237" t="s">
        <v>737</v>
      </c>
      <c r="D237" t="s">
        <v>34</v>
      </c>
      <c r="E237" t="s">
        <v>24</v>
      </c>
      <c r="F237" t="s">
        <v>14</v>
      </c>
      <c r="G237" t="s">
        <v>84</v>
      </c>
      <c r="H237">
        <v>9</v>
      </c>
      <c r="I237">
        <v>3000</v>
      </c>
      <c r="J237">
        <v>27000</v>
      </c>
      <c r="K237">
        <v>22140</v>
      </c>
      <c r="L237">
        <v>4860</v>
      </c>
    </row>
    <row r="238" spans="1:12" x14ac:dyDescent="0.3">
      <c r="A238" t="s">
        <v>738</v>
      </c>
      <c r="B238" t="s">
        <v>739</v>
      </c>
      <c r="C238" t="s">
        <v>740</v>
      </c>
      <c r="D238" t="s">
        <v>106</v>
      </c>
      <c r="E238" t="s">
        <v>107</v>
      </c>
      <c r="F238" t="s">
        <v>52</v>
      </c>
      <c r="G238" t="s">
        <v>15</v>
      </c>
      <c r="H238">
        <v>10</v>
      </c>
      <c r="I238">
        <v>6500</v>
      </c>
      <c r="J238">
        <v>65000</v>
      </c>
      <c r="K238">
        <v>53300</v>
      </c>
      <c r="L238">
        <v>11700</v>
      </c>
    </row>
    <row r="239" spans="1:12" x14ac:dyDescent="0.3">
      <c r="A239" t="s">
        <v>741</v>
      </c>
      <c r="B239" t="s">
        <v>742</v>
      </c>
      <c r="C239" t="s">
        <v>743</v>
      </c>
      <c r="D239" t="s">
        <v>42</v>
      </c>
      <c r="E239" t="s">
        <v>13</v>
      </c>
      <c r="F239" t="s">
        <v>25</v>
      </c>
      <c r="G239" t="s">
        <v>26</v>
      </c>
      <c r="H239">
        <v>8</v>
      </c>
      <c r="I239">
        <v>15000</v>
      </c>
      <c r="J239">
        <v>120000</v>
      </c>
      <c r="K239">
        <v>98400</v>
      </c>
      <c r="L239">
        <v>21600</v>
      </c>
    </row>
    <row r="240" spans="1:12" x14ac:dyDescent="0.3">
      <c r="A240" t="s">
        <v>744</v>
      </c>
      <c r="B240" t="s">
        <v>745</v>
      </c>
      <c r="C240" t="s">
        <v>746</v>
      </c>
      <c r="D240" t="s">
        <v>12</v>
      </c>
      <c r="E240" t="s">
        <v>13</v>
      </c>
      <c r="F240" t="s">
        <v>25</v>
      </c>
      <c r="G240" t="s">
        <v>15</v>
      </c>
      <c r="H240">
        <v>9</v>
      </c>
      <c r="I240">
        <v>50000</v>
      </c>
      <c r="J240">
        <v>450000</v>
      </c>
      <c r="K240">
        <v>369000</v>
      </c>
      <c r="L240">
        <v>81000</v>
      </c>
    </row>
    <row r="241" spans="1:12" x14ac:dyDescent="0.3">
      <c r="A241" t="s">
        <v>747</v>
      </c>
      <c r="B241" t="s">
        <v>748</v>
      </c>
      <c r="C241" t="s">
        <v>749</v>
      </c>
      <c r="D241" t="s">
        <v>34</v>
      </c>
      <c r="E241" t="s">
        <v>24</v>
      </c>
      <c r="F241" t="s">
        <v>38</v>
      </c>
      <c r="G241" t="s">
        <v>15</v>
      </c>
      <c r="H241">
        <v>4</v>
      </c>
      <c r="I241">
        <v>3000</v>
      </c>
      <c r="J241">
        <v>12000</v>
      </c>
      <c r="K241">
        <v>9840</v>
      </c>
      <c r="L241">
        <v>2160</v>
      </c>
    </row>
    <row r="242" spans="1:12" x14ac:dyDescent="0.3">
      <c r="A242" t="s">
        <v>750</v>
      </c>
      <c r="B242" t="s">
        <v>751</v>
      </c>
      <c r="C242" t="s">
        <v>752</v>
      </c>
      <c r="D242" t="s">
        <v>106</v>
      </c>
      <c r="E242" t="s">
        <v>107</v>
      </c>
      <c r="F242" t="s">
        <v>52</v>
      </c>
      <c r="G242" t="s">
        <v>26</v>
      </c>
      <c r="H242">
        <v>3</v>
      </c>
      <c r="I242">
        <v>6500</v>
      </c>
      <c r="J242">
        <v>19500</v>
      </c>
      <c r="K242">
        <v>15989</v>
      </c>
      <c r="L242">
        <v>3511</v>
      </c>
    </row>
    <row r="243" spans="1:12" x14ac:dyDescent="0.3">
      <c r="A243" t="s">
        <v>753</v>
      </c>
      <c r="B243" t="s">
        <v>754</v>
      </c>
      <c r="C243" t="s">
        <v>755</v>
      </c>
      <c r="D243" t="s">
        <v>106</v>
      </c>
      <c r="E243" t="s">
        <v>107</v>
      </c>
      <c r="F243" t="s">
        <v>38</v>
      </c>
      <c r="G243" t="s">
        <v>43</v>
      </c>
      <c r="H243">
        <v>5</v>
      </c>
      <c r="I243">
        <v>6500</v>
      </c>
      <c r="J243">
        <v>32500</v>
      </c>
      <c r="K243">
        <v>26650</v>
      </c>
      <c r="L243">
        <v>5850</v>
      </c>
    </row>
    <row r="244" spans="1:12" x14ac:dyDescent="0.3">
      <c r="A244" t="s">
        <v>756</v>
      </c>
      <c r="B244" t="s">
        <v>757</v>
      </c>
      <c r="C244" t="s">
        <v>758</v>
      </c>
      <c r="D244" t="s">
        <v>106</v>
      </c>
      <c r="E244" t="s">
        <v>107</v>
      </c>
      <c r="F244" t="s">
        <v>52</v>
      </c>
      <c r="G244" t="s">
        <v>84</v>
      </c>
      <c r="H244">
        <v>8</v>
      </c>
      <c r="I244">
        <v>6500</v>
      </c>
      <c r="J244">
        <v>52000</v>
      </c>
      <c r="K244">
        <v>42640</v>
      </c>
      <c r="L244">
        <v>9360</v>
      </c>
    </row>
    <row r="245" spans="1:12" x14ac:dyDescent="0.3">
      <c r="A245" t="s">
        <v>759</v>
      </c>
      <c r="B245" t="s">
        <v>760</v>
      </c>
      <c r="C245" t="s">
        <v>761</v>
      </c>
      <c r="D245" t="s">
        <v>50</v>
      </c>
      <c r="E245" t="s">
        <v>51</v>
      </c>
      <c r="F245" t="s">
        <v>25</v>
      </c>
      <c r="G245" t="s">
        <v>19</v>
      </c>
      <c r="H245">
        <v>9</v>
      </c>
      <c r="I245">
        <v>2200</v>
      </c>
      <c r="J245">
        <v>19800</v>
      </c>
      <c r="K245">
        <v>16235</v>
      </c>
      <c r="L245">
        <v>3565</v>
      </c>
    </row>
    <row r="246" spans="1:12" x14ac:dyDescent="0.3">
      <c r="A246" t="s">
        <v>762</v>
      </c>
      <c r="B246" t="s">
        <v>763</v>
      </c>
      <c r="C246" t="s">
        <v>764</v>
      </c>
      <c r="D246" t="s">
        <v>34</v>
      </c>
      <c r="E246" t="s">
        <v>24</v>
      </c>
      <c r="F246" t="s">
        <v>38</v>
      </c>
      <c r="G246" t="s">
        <v>26</v>
      </c>
      <c r="H246">
        <v>7</v>
      </c>
      <c r="I246">
        <v>3000</v>
      </c>
      <c r="J246">
        <v>21000</v>
      </c>
      <c r="K246">
        <v>17220</v>
      </c>
      <c r="L246">
        <v>3780</v>
      </c>
    </row>
    <row r="247" spans="1:12" x14ac:dyDescent="0.3">
      <c r="A247" t="s">
        <v>765</v>
      </c>
      <c r="B247" t="s">
        <v>766</v>
      </c>
      <c r="C247" t="s">
        <v>767</v>
      </c>
      <c r="D247" t="s">
        <v>42</v>
      </c>
      <c r="E247" t="s">
        <v>13</v>
      </c>
      <c r="F247" t="s">
        <v>25</v>
      </c>
      <c r="G247" t="s">
        <v>43</v>
      </c>
      <c r="H247">
        <v>4</v>
      </c>
      <c r="I247">
        <v>15000</v>
      </c>
      <c r="J247">
        <v>60000</v>
      </c>
      <c r="K247">
        <v>49200</v>
      </c>
      <c r="L247">
        <v>10800</v>
      </c>
    </row>
    <row r="248" spans="1:12" x14ac:dyDescent="0.3">
      <c r="A248" t="s">
        <v>768</v>
      </c>
      <c r="B248" t="s">
        <v>769</v>
      </c>
      <c r="C248" t="s">
        <v>770</v>
      </c>
      <c r="D248" t="s">
        <v>106</v>
      </c>
      <c r="E248" t="s">
        <v>107</v>
      </c>
      <c r="F248" t="s">
        <v>52</v>
      </c>
      <c r="G248" t="s">
        <v>84</v>
      </c>
      <c r="H248">
        <v>10</v>
      </c>
      <c r="I248">
        <v>6500</v>
      </c>
      <c r="J248">
        <v>65000</v>
      </c>
      <c r="K248">
        <v>53300</v>
      </c>
      <c r="L248">
        <v>11700</v>
      </c>
    </row>
    <row r="249" spans="1:12" x14ac:dyDescent="0.3">
      <c r="A249" t="s">
        <v>771</v>
      </c>
      <c r="B249" t="s">
        <v>772</v>
      </c>
      <c r="C249" t="s">
        <v>773</v>
      </c>
      <c r="D249" t="s">
        <v>12</v>
      </c>
      <c r="E249" t="s">
        <v>13</v>
      </c>
      <c r="F249" t="s">
        <v>52</v>
      </c>
      <c r="G249" t="s">
        <v>43</v>
      </c>
      <c r="H249">
        <v>3</v>
      </c>
      <c r="I249">
        <v>50000</v>
      </c>
      <c r="J249">
        <v>150000</v>
      </c>
      <c r="K249">
        <v>122999</v>
      </c>
      <c r="L249">
        <v>27001</v>
      </c>
    </row>
    <row r="250" spans="1:12" x14ac:dyDescent="0.3">
      <c r="A250" t="s">
        <v>774</v>
      </c>
      <c r="B250" t="s">
        <v>775</v>
      </c>
      <c r="C250" t="s">
        <v>776</v>
      </c>
      <c r="D250" t="s">
        <v>23</v>
      </c>
      <c r="E250" t="s">
        <v>24</v>
      </c>
      <c r="F250" t="s">
        <v>25</v>
      </c>
      <c r="G250" t="s">
        <v>84</v>
      </c>
      <c r="H250">
        <v>3</v>
      </c>
      <c r="I250">
        <v>800</v>
      </c>
      <c r="J250">
        <v>2400</v>
      </c>
      <c r="K250">
        <v>1967</v>
      </c>
      <c r="L250">
        <v>433</v>
      </c>
    </row>
    <row r="251" spans="1:12" x14ac:dyDescent="0.3">
      <c r="A251" t="s">
        <v>777</v>
      </c>
      <c r="B251" t="s">
        <v>778</v>
      </c>
      <c r="C251" t="s">
        <v>779</v>
      </c>
      <c r="D251" t="s">
        <v>30</v>
      </c>
      <c r="E251" t="s">
        <v>13</v>
      </c>
      <c r="F251" t="s">
        <v>52</v>
      </c>
      <c r="G251" t="s">
        <v>84</v>
      </c>
      <c r="H251">
        <v>7</v>
      </c>
      <c r="I251">
        <v>12000</v>
      </c>
      <c r="J251">
        <v>84000</v>
      </c>
      <c r="K251">
        <v>68880</v>
      </c>
      <c r="L251">
        <v>15120</v>
      </c>
    </row>
    <row r="252" spans="1:12" x14ac:dyDescent="0.3">
      <c r="A252" t="s">
        <v>780</v>
      </c>
      <c r="B252" t="s">
        <v>781</v>
      </c>
      <c r="C252" t="s">
        <v>782</v>
      </c>
      <c r="D252" t="s">
        <v>42</v>
      </c>
      <c r="E252" t="s">
        <v>13</v>
      </c>
      <c r="F252" t="s">
        <v>38</v>
      </c>
      <c r="G252" t="s">
        <v>84</v>
      </c>
      <c r="H252">
        <v>7</v>
      </c>
      <c r="I252">
        <v>15000</v>
      </c>
      <c r="J252">
        <v>105000</v>
      </c>
      <c r="K252">
        <v>86100</v>
      </c>
      <c r="L252">
        <v>18900</v>
      </c>
    </row>
    <row r="253" spans="1:12" x14ac:dyDescent="0.3">
      <c r="A253" t="s">
        <v>783</v>
      </c>
      <c r="B253" t="s">
        <v>784</v>
      </c>
      <c r="C253" t="s">
        <v>785</v>
      </c>
      <c r="D253" t="s">
        <v>12</v>
      </c>
      <c r="E253" t="s">
        <v>13</v>
      </c>
      <c r="F253" t="s">
        <v>52</v>
      </c>
      <c r="G253" t="s">
        <v>43</v>
      </c>
      <c r="H253">
        <v>8</v>
      </c>
      <c r="I253">
        <v>50000</v>
      </c>
      <c r="J253">
        <v>400000</v>
      </c>
      <c r="K253">
        <v>328000</v>
      </c>
      <c r="L253">
        <v>72000</v>
      </c>
    </row>
    <row r="254" spans="1:12" x14ac:dyDescent="0.3">
      <c r="A254" t="s">
        <v>786</v>
      </c>
      <c r="B254" t="s">
        <v>787</v>
      </c>
      <c r="C254" t="s">
        <v>788</v>
      </c>
      <c r="D254" t="s">
        <v>59</v>
      </c>
      <c r="E254" t="s">
        <v>24</v>
      </c>
      <c r="F254" t="s">
        <v>52</v>
      </c>
      <c r="G254" t="s">
        <v>26</v>
      </c>
      <c r="H254">
        <v>8</v>
      </c>
      <c r="I254">
        <v>1500</v>
      </c>
      <c r="J254">
        <v>12000</v>
      </c>
      <c r="K254">
        <v>9840</v>
      </c>
      <c r="L254">
        <v>2160</v>
      </c>
    </row>
    <row r="255" spans="1:12" x14ac:dyDescent="0.3">
      <c r="A255" t="s">
        <v>789</v>
      </c>
      <c r="B255" t="s">
        <v>790</v>
      </c>
      <c r="C255" t="s">
        <v>791</v>
      </c>
      <c r="D255" t="s">
        <v>106</v>
      </c>
      <c r="E255" t="s">
        <v>107</v>
      </c>
      <c r="F255" t="s">
        <v>52</v>
      </c>
      <c r="G255" t="s">
        <v>26</v>
      </c>
      <c r="H255">
        <v>4</v>
      </c>
      <c r="I255">
        <v>6500</v>
      </c>
      <c r="J255">
        <v>26000</v>
      </c>
      <c r="K255">
        <v>21320</v>
      </c>
      <c r="L255">
        <v>4680</v>
      </c>
    </row>
    <row r="256" spans="1:12" x14ac:dyDescent="0.3">
      <c r="A256" t="s">
        <v>792</v>
      </c>
      <c r="B256" t="s">
        <v>793</v>
      </c>
      <c r="C256" t="s">
        <v>794</v>
      </c>
      <c r="D256" t="s">
        <v>59</v>
      </c>
      <c r="E256" t="s">
        <v>24</v>
      </c>
      <c r="F256" t="s">
        <v>14</v>
      </c>
      <c r="G256" t="s">
        <v>43</v>
      </c>
      <c r="H256">
        <v>10</v>
      </c>
      <c r="I256">
        <v>1500</v>
      </c>
      <c r="J256">
        <v>15000</v>
      </c>
      <c r="K256">
        <v>12300</v>
      </c>
      <c r="L256">
        <v>2700</v>
      </c>
    </row>
    <row r="257" spans="1:12" x14ac:dyDescent="0.3">
      <c r="A257" t="s">
        <v>795</v>
      </c>
      <c r="B257" t="s">
        <v>796</v>
      </c>
      <c r="C257" t="s">
        <v>797</v>
      </c>
      <c r="D257" t="s">
        <v>30</v>
      </c>
      <c r="E257" t="s">
        <v>13</v>
      </c>
      <c r="F257" t="s">
        <v>52</v>
      </c>
      <c r="G257" t="s">
        <v>84</v>
      </c>
      <c r="H257">
        <v>9</v>
      </c>
      <c r="I257">
        <v>12000</v>
      </c>
      <c r="J257">
        <v>108000</v>
      </c>
      <c r="K257">
        <v>88560</v>
      </c>
      <c r="L257">
        <v>19440</v>
      </c>
    </row>
    <row r="258" spans="1:12" x14ac:dyDescent="0.3">
      <c r="A258" t="s">
        <v>798</v>
      </c>
      <c r="B258" t="s">
        <v>799</v>
      </c>
      <c r="C258" t="s">
        <v>800</v>
      </c>
      <c r="D258" t="s">
        <v>12</v>
      </c>
      <c r="E258" t="s">
        <v>13</v>
      </c>
      <c r="F258" t="s">
        <v>52</v>
      </c>
      <c r="G258" t="s">
        <v>43</v>
      </c>
      <c r="H258">
        <v>9</v>
      </c>
      <c r="I258">
        <v>50000</v>
      </c>
      <c r="J258">
        <v>450000</v>
      </c>
      <c r="K258">
        <v>369000</v>
      </c>
      <c r="L258">
        <v>81000</v>
      </c>
    </row>
    <row r="259" spans="1:12" x14ac:dyDescent="0.3">
      <c r="A259" t="s">
        <v>801</v>
      </c>
      <c r="B259" t="s">
        <v>802</v>
      </c>
      <c r="C259" t="s">
        <v>803</v>
      </c>
      <c r="D259" t="s">
        <v>59</v>
      </c>
      <c r="E259" t="s">
        <v>24</v>
      </c>
      <c r="F259" t="s">
        <v>25</v>
      </c>
      <c r="G259" t="s">
        <v>43</v>
      </c>
      <c r="H259">
        <v>8</v>
      </c>
      <c r="I259">
        <v>1500</v>
      </c>
      <c r="J259">
        <v>12000</v>
      </c>
      <c r="K259">
        <v>9840</v>
      </c>
      <c r="L259">
        <v>2160</v>
      </c>
    </row>
    <row r="260" spans="1:12" x14ac:dyDescent="0.3">
      <c r="A260" t="s">
        <v>804</v>
      </c>
      <c r="B260" t="s">
        <v>805</v>
      </c>
      <c r="C260" t="s">
        <v>806</v>
      </c>
      <c r="D260" t="s">
        <v>23</v>
      </c>
      <c r="E260" t="s">
        <v>24</v>
      </c>
      <c r="F260" t="s">
        <v>38</v>
      </c>
      <c r="G260" t="s">
        <v>19</v>
      </c>
      <c r="H260">
        <v>1</v>
      </c>
      <c r="I260">
        <v>800</v>
      </c>
      <c r="J260">
        <v>800</v>
      </c>
      <c r="K260">
        <v>656</v>
      </c>
      <c r="L260">
        <v>144</v>
      </c>
    </row>
    <row r="261" spans="1:12" x14ac:dyDescent="0.3">
      <c r="A261" t="s">
        <v>807</v>
      </c>
      <c r="B261" t="s">
        <v>808</v>
      </c>
      <c r="C261" t="s">
        <v>809</v>
      </c>
      <c r="D261" t="s">
        <v>50</v>
      </c>
      <c r="E261" t="s">
        <v>51</v>
      </c>
      <c r="F261" t="s">
        <v>25</v>
      </c>
      <c r="G261" t="s">
        <v>26</v>
      </c>
      <c r="H261">
        <v>10</v>
      </c>
      <c r="I261">
        <v>2200</v>
      </c>
      <c r="J261">
        <v>22000</v>
      </c>
      <c r="K261">
        <v>18040</v>
      </c>
      <c r="L261">
        <v>3960</v>
      </c>
    </row>
    <row r="262" spans="1:12" x14ac:dyDescent="0.3">
      <c r="A262" t="s">
        <v>810</v>
      </c>
      <c r="B262" t="s">
        <v>811</v>
      </c>
      <c r="C262" t="s">
        <v>812</v>
      </c>
      <c r="D262" t="s">
        <v>34</v>
      </c>
      <c r="E262" t="s">
        <v>24</v>
      </c>
      <c r="F262" t="s">
        <v>14</v>
      </c>
      <c r="G262" t="s">
        <v>19</v>
      </c>
      <c r="H262">
        <v>2</v>
      </c>
      <c r="I262">
        <v>3000</v>
      </c>
      <c r="J262">
        <v>6000</v>
      </c>
      <c r="K262">
        <v>4920</v>
      </c>
      <c r="L262">
        <v>1080</v>
      </c>
    </row>
    <row r="263" spans="1:12" x14ac:dyDescent="0.3">
      <c r="A263" t="s">
        <v>813</v>
      </c>
      <c r="B263" t="s">
        <v>814</v>
      </c>
      <c r="C263" t="s">
        <v>815</v>
      </c>
      <c r="D263" t="s">
        <v>59</v>
      </c>
      <c r="E263" t="s">
        <v>24</v>
      </c>
      <c r="F263" t="s">
        <v>25</v>
      </c>
      <c r="G263" t="s">
        <v>15</v>
      </c>
      <c r="H263">
        <v>6</v>
      </c>
      <c r="I263">
        <v>1500</v>
      </c>
      <c r="J263">
        <v>9000</v>
      </c>
      <c r="K263">
        <v>7380</v>
      </c>
      <c r="L263">
        <v>1620</v>
      </c>
    </row>
    <row r="264" spans="1:12" x14ac:dyDescent="0.3">
      <c r="A264" t="s">
        <v>816</v>
      </c>
      <c r="B264" t="s">
        <v>817</v>
      </c>
      <c r="C264" t="s">
        <v>818</v>
      </c>
      <c r="D264" t="s">
        <v>106</v>
      </c>
      <c r="E264" t="s">
        <v>107</v>
      </c>
      <c r="F264" t="s">
        <v>25</v>
      </c>
      <c r="G264" t="s">
        <v>43</v>
      </c>
      <c r="H264">
        <v>5</v>
      </c>
      <c r="I264">
        <v>6500</v>
      </c>
      <c r="J264">
        <v>32500</v>
      </c>
      <c r="K264">
        <v>26650</v>
      </c>
      <c r="L264">
        <v>5850</v>
      </c>
    </row>
    <row r="265" spans="1:12" x14ac:dyDescent="0.3">
      <c r="A265" t="s">
        <v>819</v>
      </c>
      <c r="B265" t="s">
        <v>820</v>
      </c>
      <c r="C265" t="s">
        <v>821</v>
      </c>
      <c r="D265" t="s">
        <v>42</v>
      </c>
      <c r="E265" t="s">
        <v>13</v>
      </c>
      <c r="F265" t="s">
        <v>14</v>
      </c>
      <c r="G265" t="s">
        <v>19</v>
      </c>
      <c r="H265">
        <v>6</v>
      </c>
      <c r="I265">
        <v>15000</v>
      </c>
      <c r="J265">
        <v>90000</v>
      </c>
      <c r="K265">
        <v>73800</v>
      </c>
      <c r="L265">
        <v>16200</v>
      </c>
    </row>
    <row r="266" spans="1:12" x14ac:dyDescent="0.3">
      <c r="A266" t="s">
        <v>822</v>
      </c>
      <c r="B266" t="s">
        <v>823</v>
      </c>
      <c r="C266" t="s">
        <v>824</v>
      </c>
      <c r="D266" t="s">
        <v>59</v>
      </c>
      <c r="E266" t="s">
        <v>24</v>
      </c>
      <c r="F266" t="s">
        <v>25</v>
      </c>
      <c r="G266" t="s">
        <v>19</v>
      </c>
      <c r="H266">
        <v>1</v>
      </c>
      <c r="I266">
        <v>1500</v>
      </c>
      <c r="J266">
        <v>1500</v>
      </c>
      <c r="K266">
        <v>1230</v>
      </c>
      <c r="L266">
        <v>270</v>
      </c>
    </row>
    <row r="267" spans="1:12" x14ac:dyDescent="0.3">
      <c r="A267" t="s">
        <v>825</v>
      </c>
      <c r="B267" t="s">
        <v>826</v>
      </c>
      <c r="C267" t="s">
        <v>827</v>
      </c>
      <c r="D267" t="s">
        <v>34</v>
      </c>
      <c r="E267" t="s">
        <v>24</v>
      </c>
      <c r="F267" t="s">
        <v>25</v>
      </c>
      <c r="G267" t="s">
        <v>26</v>
      </c>
      <c r="H267">
        <v>5</v>
      </c>
      <c r="I267">
        <v>3000</v>
      </c>
      <c r="J267">
        <v>15000</v>
      </c>
      <c r="K267">
        <v>12300</v>
      </c>
      <c r="L267">
        <v>2700</v>
      </c>
    </row>
    <row r="268" spans="1:12" x14ac:dyDescent="0.3">
      <c r="A268" t="s">
        <v>828</v>
      </c>
      <c r="B268" t="s">
        <v>829</v>
      </c>
      <c r="C268" t="s">
        <v>830</v>
      </c>
      <c r="D268" t="s">
        <v>23</v>
      </c>
      <c r="E268" t="s">
        <v>24</v>
      </c>
      <c r="F268" t="s">
        <v>52</v>
      </c>
      <c r="G268" t="s">
        <v>19</v>
      </c>
      <c r="H268">
        <v>6</v>
      </c>
      <c r="I268">
        <v>800</v>
      </c>
      <c r="J268">
        <v>4800</v>
      </c>
      <c r="K268">
        <v>3935</v>
      </c>
      <c r="L268">
        <v>865</v>
      </c>
    </row>
    <row r="269" spans="1:12" x14ac:dyDescent="0.3">
      <c r="A269" t="s">
        <v>831</v>
      </c>
      <c r="B269" t="s">
        <v>832</v>
      </c>
      <c r="C269" t="s">
        <v>833</v>
      </c>
      <c r="D269" t="s">
        <v>23</v>
      </c>
      <c r="E269" t="s">
        <v>24</v>
      </c>
      <c r="F269" t="s">
        <v>52</v>
      </c>
      <c r="G269" t="s">
        <v>43</v>
      </c>
      <c r="H269">
        <v>3</v>
      </c>
      <c r="I269">
        <v>800</v>
      </c>
      <c r="J269">
        <v>2400</v>
      </c>
      <c r="K269">
        <v>1967</v>
      </c>
      <c r="L269">
        <v>433</v>
      </c>
    </row>
    <row r="270" spans="1:12" x14ac:dyDescent="0.3">
      <c r="A270" t="s">
        <v>834</v>
      </c>
      <c r="B270" t="s">
        <v>835</v>
      </c>
      <c r="C270" t="s">
        <v>836</v>
      </c>
      <c r="D270" t="s">
        <v>34</v>
      </c>
      <c r="E270" t="s">
        <v>24</v>
      </c>
      <c r="F270" t="s">
        <v>52</v>
      </c>
      <c r="G270" t="s">
        <v>26</v>
      </c>
      <c r="H270">
        <v>8</v>
      </c>
      <c r="I270">
        <v>3000</v>
      </c>
      <c r="J270">
        <v>24000</v>
      </c>
      <c r="K270">
        <v>19680</v>
      </c>
      <c r="L270">
        <v>4320</v>
      </c>
    </row>
    <row r="271" spans="1:12" x14ac:dyDescent="0.3">
      <c r="A271" t="s">
        <v>837</v>
      </c>
      <c r="B271" t="s">
        <v>838</v>
      </c>
      <c r="C271" t="s">
        <v>839</v>
      </c>
      <c r="D271" t="s">
        <v>106</v>
      </c>
      <c r="E271" t="s">
        <v>107</v>
      </c>
      <c r="F271" t="s">
        <v>52</v>
      </c>
      <c r="G271" t="s">
        <v>43</v>
      </c>
      <c r="H271">
        <v>8</v>
      </c>
      <c r="I271">
        <v>6500</v>
      </c>
      <c r="J271">
        <v>52000</v>
      </c>
      <c r="K271">
        <v>42640</v>
      </c>
      <c r="L271">
        <v>9360</v>
      </c>
    </row>
    <row r="272" spans="1:12" x14ac:dyDescent="0.3">
      <c r="A272" t="s">
        <v>840</v>
      </c>
      <c r="B272" t="s">
        <v>841</v>
      </c>
      <c r="C272" t="s">
        <v>842</v>
      </c>
      <c r="D272" t="s">
        <v>34</v>
      </c>
      <c r="E272" t="s">
        <v>24</v>
      </c>
      <c r="F272" t="s">
        <v>25</v>
      </c>
      <c r="G272" t="s">
        <v>43</v>
      </c>
      <c r="H272">
        <v>6</v>
      </c>
      <c r="I272">
        <v>3000</v>
      </c>
      <c r="J272">
        <v>18000</v>
      </c>
      <c r="K272">
        <v>14760</v>
      </c>
      <c r="L272">
        <v>3240</v>
      </c>
    </row>
    <row r="273" spans="1:12" x14ac:dyDescent="0.3">
      <c r="A273" t="s">
        <v>843</v>
      </c>
      <c r="B273" t="s">
        <v>844</v>
      </c>
      <c r="C273" t="s">
        <v>845</v>
      </c>
      <c r="D273" t="s">
        <v>59</v>
      </c>
      <c r="E273" t="s">
        <v>24</v>
      </c>
      <c r="F273" t="s">
        <v>52</v>
      </c>
      <c r="G273" t="s">
        <v>43</v>
      </c>
      <c r="H273">
        <v>8</v>
      </c>
      <c r="I273">
        <v>1500</v>
      </c>
      <c r="J273">
        <v>12000</v>
      </c>
      <c r="K273">
        <v>9840</v>
      </c>
      <c r="L273">
        <v>2160</v>
      </c>
    </row>
    <row r="274" spans="1:12" x14ac:dyDescent="0.3">
      <c r="A274" t="s">
        <v>846</v>
      </c>
      <c r="B274" t="s">
        <v>847</v>
      </c>
      <c r="C274" t="s">
        <v>848</v>
      </c>
      <c r="D274" t="s">
        <v>34</v>
      </c>
      <c r="E274" t="s">
        <v>24</v>
      </c>
      <c r="F274" t="s">
        <v>14</v>
      </c>
      <c r="G274" t="s">
        <v>26</v>
      </c>
      <c r="H274">
        <v>3</v>
      </c>
      <c r="I274">
        <v>3000</v>
      </c>
      <c r="J274">
        <v>9000</v>
      </c>
      <c r="K274">
        <v>7380</v>
      </c>
      <c r="L274">
        <v>1620</v>
      </c>
    </row>
    <row r="275" spans="1:12" x14ac:dyDescent="0.3">
      <c r="A275" t="s">
        <v>849</v>
      </c>
      <c r="B275" t="s">
        <v>850</v>
      </c>
      <c r="C275" t="s">
        <v>851</v>
      </c>
      <c r="D275" t="s">
        <v>34</v>
      </c>
      <c r="E275" t="s">
        <v>24</v>
      </c>
      <c r="F275" t="s">
        <v>38</v>
      </c>
      <c r="G275" t="s">
        <v>84</v>
      </c>
      <c r="H275">
        <v>3</v>
      </c>
      <c r="I275">
        <v>3000</v>
      </c>
      <c r="J275">
        <v>9000</v>
      </c>
      <c r="K275">
        <v>7380</v>
      </c>
      <c r="L275">
        <v>1620</v>
      </c>
    </row>
    <row r="276" spans="1:12" x14ac:dyDescent="0.3">
      <c r="A276" t="s">
        <v>852</v>
      </c>
      <c r="B276" t="s">
        <v>853</v>
      </c>
      <c r="C276" t="s">
        <v>854</v>
      </c>
      <c r="D276" t="s">
        <v>106</v>
      </c>
      <c r="E276" t="s">
        <v>107</v>
      </c>
      <c r="F276" t="s">
        <v>14</v>
      </c>
      <c r="G276" t="s">
        <v>43</v>
      </c>
      <c r="H276">
        <v>9</v>
      </c>
      <c r="I276">
        <v>6500</v>
      </c>
      <c r="J276">
        <v>58500</v>
      </c>
      <c r="K276">
        <v>47970</v>
      </c>
      <c r="L276">
        <v>10530</v>
      </c>
    </row>
    <row r="277" spans="1:12" x14ac:dyDescent="0.3">
      <c r="A277" t="s">
        <v>855</v>
      </c>
      <c r="B277" t="s">
        <v>856</v>
      </c>
      <c r="C277" t="s">
        <v>857</v>
      </c>
      <c r="D277" t="s">
        <v>59</v>
      </c>
      <c r="E277" t="s">
        <v>24</v>
      </c>
      <c r="F277" t="s">
        <v>38</v>
      </c>
      <c r="G277" t="s">
        <v>19</v>
      </c>
      <c r="H277">
        <v>7</v>
      </c>
      <c r="I277">
        <v>1500</v>
      </c>
      <c r="J277">
        <v>10500</v>
      </c>
      <c r="K277">
        <v>8610</v>
      </c>
      <c r="L277">
        <v>1890</v>
      </c>
    </row>
    <row r="278" spans="1:12" x14ac:dyDescent="0.3">
      <c r="A278" t="s">
        <v>858</v>
      </c>
      <c r="B278" t="s">
        <v>859</v>
      </c>
      <c r="C278" t="s">
        <v>860</v>
      </c>
      <c r="D278" t="s">
        <v>42</v>
      </c>
      <c r="E278" t="s">
        <v>13</v>
      </c>
      <c r="F278" t="s">
        <v>52</v>
      </c>
      <c r="G278" t="s">
        <v>26</v>
      </c>
      <c r="H278">
        <v>5</v>
      </c>
      <c r="I278">
        <v>15000</v>
      </c>
      <c r="J278">
        <v>75000</v>
      </c>
      <c r="K278">
        <v>61499</v>
      </c>
      <c r="L278">
        <v>13501</v>
      </c>
    </row>
    <row r="279" spans="1:12" x14ac:dyDescent="0.3">
      <c r="A279" t="s">
        <v>861</v>
      </c>
      <c r="B279" t="s">
        <v>862</v>
      </c>
      <c r="C279" t="s">
        <v>863</v>
      </c>
      <c r="D279" t="s">
        <v>23</v>
      </c>
      <c r="E279" t="s">
        <v>24</v>
      </c>
      <c r="F279" t="s">
        <v>38</v>
      </c>
      <c r="G279" t="s">
        <v>26</v>
      </c>
      <c r="H279">
        <v>3</v>
      </c>
      <c r="I279">
        <v>800</v>
      </c>
      <c r="J279">
        <v>2400</v>
      </c>
      <c r="K279">
        <v>1967</v>
      </c>
      <c r="L279">
        <v>433</v>
      </c>
    </row>
    <row r="280" spans="1:12" x14ac:dyDescent="0.3">
      <c r="A280" t="s">
        <v>864</v>
      </c>
      <c r="B280" t="s">
        <v>865</v>
      </c>
      <c r="C280" t="s">
        <v>866</v>
      </c>
      <c r="D280" t="s">
        <v>34</v>
      </c>
      <c r="E280" t="s">
        <v>24</v>
      </c>
      <c r="F280" t="s">
        <v>25</v>
      </c>
      <c r="G280" t="s">
        <v>84</v>
      </c>
      <c r="H280">
        <v>7</v>
      </c>
      <c r="I280">
        <v>3000</v>
      </c>
      <c r="J280">
        <v>21000</v>
      </c>
      <c r="K280">
        <v>17220</v>
      </c>
      <c r="L280">
        <v>3780</v>
      </c>
    </row>
    <row r="281" spans="1:12" x14ac:dyDescent="0.3">
      <c r="A281" t="s">
        <v>867</v>
      </c>
      <c r="B281" t="s">
        <v>868</v>
      </c>
      <c r="C281" t="s">
        <v>869</v>
      </c>
      <c r="D281" t="s">
        <v>12</v>
      </c>
      <c r="E281" t="s">
        <v>13</v>
      </c>
      <c r="F281" t="s">
        <v>14</v>
      </c>
      <c r="G281" t="s">
        <v>84</v>
      </c>
      <c r="H281">
        <v>1</v>
      </c>
      <c r="I281">
        <v>50000</v>
      </c>
      <c r="J281">
        <v>50000</v>
      </c>
      <c r="K281">
        <v>41000</v>
      </c>
      <c r="L281">
        <v>9000</v>
      </c>
    </row>
    <row r="282" spans="1:12" x14ac:dyDescent="0.3">
      <c r="A282" t="s">
        <v>870</v>
      </c>
      <c r="B282" t="s">
        <v>871</v>
      </c>
      <c r="C282" t="s">
        <v>872</v>
      </c>
      <c r="D282" t="s">
        <v>42</v>
      </c>
      <c r="E282" t="s">
        <v>13</v>
      </c>
      <c r="F282" t="s">
        <v>14</v>
      </c>
      <c r="G282" t="s">
        <v>19</v>
      </c>
      <c r="H282">
        <v>8</v>
      </c>
      <c r="I282">
        <v>15000</v>
      </c>
      <c r="J282">
        <v>120000</v>
      </c>
      <c r="K282">
        <v>98400</v>
      </c>
      <c r="L282">
        <v>21600</v>
      </c>
    </row>
    <row r="283" spans="1:12" x14ac:dyDescent="0.3">
      <c r="A283" t="s">
        <v>873</v>
      </c>
      <c r="B283" t="s">
        <v>874</v>
      </c>
      <c r="C283" t="s">
        <v>875</v>
      </c>
      <c r="D283" t="s">
        <v>12</v>
      </c>
      <c r="E283" t="s">
        <v>13</v>
      </c>
      <c r="F283" t="s">
        <v>38</v>
      </c>
      <c r="G283" t="s">
        <v>15</v>
      </c>
      <c r="H283">
        <v>7</v>
      </c>
      <c r="I283">
        <v>50000</v>
      </c>
      <c r="J283">
        <v>350000</v>
      </c>
      <c r="K283">
        <v>287000</v>
      </c>
      <c r="L283">
        <v>63000</v>
      </c>
    </row>
    <row r="284" spans="1:12" x14ac:dyDescent="0.3">
      <c r="A284" t="s">
        <v>876</v>
      </c>
      <c r="B284" t="s">
        <v>877</v>
      </c>
      <c r="C284" t="s">
        <v>878</v>
      </c>
      <c r="D284" t="s">
        <v>30</v>
      </c>
      <c r="E284" t="s">
        <v>13</v>
      </c>
      <c r="F284" t="s">
        <v>25</v>
      </c>
      <c r="G284" t="s">
        <v>19</v>
      </c>
      <c r="H284">
        <v>5</v>
      </c>
      <c r="I284">
        <v>12000</v>
      </c>
      <c r="J284">
        <v>60000</v>
      </c>
      <c r="K284">
        <v>49200</v>
      </c>
      <c r="L284">
        <v>10800</v>
      </c>
    </row>
    <row r="285" spans="1:12" x14ac:dyDescent="0.3">
      <c r="A285" t="s">
        <v>879</v>
      </c>
      <c r="B285" t="s">
        <v>880</v>
      </c>
      <c r="C285" t="s">
        <v>881</v>
      </c>
      <c r="D285" t="s">
        <v>34</v>
      </c>
      <c r="E285" t="s">
        <v>24</v>
      </c>
      <c r="F285" t="s">
        <v>14</v>
      </c>
      <c r="G285" t="s">
        <v>26</v>
      </c>
      <c r="H285">
        <v>10</v>
      </c>
      <c r="I285">
        <v>3000</v>
      </c>
      <c r="J285">
        <v>30000</v>
      </c>
      <c r="K285">
        <v>24600</v>
      </c>
      <c r="L285">
        <v>5400</v>
      </c>
    </row>
    <row r="286" spans="1:12" x14ac:dyDescent="0.3">
      <c r="A286" t="s">
        <v>882</v>
      </c>
      <c r="B286" t="s">
        <v>883</v>
      </c>
      <c r="C286" t="s">
        <v>884</v>
      </c>
      <c r="D286" t="s">
        <v>23</v>
      </c>
      <c r="E286" t="s">
        <v>24</v>
      </c>
      <c r="F286" t="s">
        <v>52</v>
      </c>
      <c r="G286" t="s">
        <v>26</v>
      </c>
      <c r="H286">
        <v>10</v>
      </c>
      <c r="I286">
        <v>800</v>
      </c>
      <c r="J286">
        <v>8000</v>
      </c>
      <c r="K286">
        <v>6560</v>
      </c>
      <c r="L286">
        <v>1440</v>
      </c>
    </row>
    <row r="287" spans="1:12" x14ac:dyDescent="0.3">
      <c r="A287" t="s">
        <v>885</v>
      </c>
      <c r="B287" t="s">
        <v>886</v>
      </c>
      <c r="C287" t="s">
        <v>887</v>
      </c>
      <c r="D287" t="s">
        <v>23</v>
      </c>
      <c r="E287" t="s">
        <v>24</v>
      </c>
      <c r="F287" t="s">
        <v>14</v>
      </c>
      <c r="G287" t="s">
        <v>26</v>
      </c>
      <c r="H287">
        <v>3</v>
      </c>
      <c r="I287">
        <v>800</v>
      </c>
      <c r="J287">
        <v>2400</v>
      </c>
      <c r="K287">
        <v>1967</v>
      </c>
      <c r="L287">
        <v>433</v>
      </c>
    </row>
    <row r="288" spans="1:12" x14ac:dyDescent="0.3">
      <c r="A288" t="s">
        <v>888</v>
      </c>
      <c r="B288" t="s">
        <v>889</v>
      </c>
      <c r="C288" t="s">
        <v>890</v>
      </c>
      <c r="D288" t="s">
        <v>50</v>
      </c>
      <c r="E288" t="s">
        <v>51</v>
      </c>
      <c r="F288" t="s">
        <v>38</v>
      </c>
      <c r="G288" t="s">
        <v>15</v>
      </c>
      <c r="H288">
        <v>10</v>
      </c>
      <c r="I288">
        <v>2200</v>
      </c>
      <c r="J288">
        <v>22000</v>
      </c>
      <c r="K288">
        <v>18040</v>
      </c>
      <c r="L288">
        <v>3960</v>
      </c>
    </row>
    <row r="289" spans="1:12" x14ac:dyDescent="0.3">
      <c r="A289" t="s">
        <v>891</v>
      </c>
      <c r="B289" t="s">
        <v>892</v>
      </c>
      <c r="C289" t="s">
        <v>893</v>
      </c>
      <c r="D289" t="s">
        <v>23</v>
      </c>
      <c r="E289" t="s">
        <v>24</v>
      </c>
      <c r="F289" t="s">
        <v>14</v>
      </c>
      <c r="G289" t="s">
        <v>43</v>
      </c>
      <c r="H289">
        <v>6</v>
      </c>
      <c r="I289">
        <v>800</v>
      </c>
      <c r="J289">
        <v>4800</v>
      </c>
      <c r="K289">
        <v>3935</v>
      </c>
      <c r="L289">
        <v>865</v>
      </c>
    </row>
    <row r="290" spans="1:12" x14ac:dyDescent="0.3">
      <c r="A290" t="s">
        <v>894</v>
      </c>
      <c r="B290" t="s">
        <v>895</v>
      </c>
      <c r="C290" t="s">
        <v>896</v>
      </c>
      <c r="D290" t="s">
        <v>42</v>
      </c>
      <c r="E290" t="s">
        <v>13</v>
      </c>
      <c r="F290" t="s">
        <v>52</v>
      </c>
      <c r="G290" t="s">
        <v>43</v>
      </c>
      <c r="H290">
        <v>10</v>
      </c>
      <c r="I290">
        <v>15000</v>
      </c>
      <c r="J290">
        <v>150000</v>
      </c>
      <c r="K290">
        <v>122999</v>
      </c>
      <c r="L290">
        <v>27001</v>
      </c>
    </row>
    <row r="291" spans="1:12" x14ac:dyDescent="0.3">
      <c r="A291" t="s">
        <v>897</v>
      </c>
      <c r="B291" t="s">
        <v>898</v>
      </c>
      <c r="C291" t="s">
        <v>899</v>
      </c>
      <c r="D291" t="s">
        <v>12</v>
      </c>
      <c r="E291" t="s">
        <v>13</v>
      </c>
      <c r="F291" t="s">
        <v>38</v>
      </c>
      <c r="G291" t="s">
        <v>43</v>
      </c>
      <c r="H291">
        <v>3</v>
      </c>
      <c r="I291">
        <v>50000</v>
      </c>
      <c r="J291">
        <v>150000</v>
      </c>
      <c r="K291">
        <v>122999</v>
      </c>
      <c r="L291">
        <v>27001</v>
      </c>
    </row>
    <row r="292" spans="1:12" x14ac:dyDescent="0.3">
      <c r="A292" t="s">
        <v>900</v>
      </c>
      <c r="B292" t="s">
        <v>901</v>
      </c>
      <c r="C292" t="s">
        <v>902</v>
      </c>
      <c r="D292" t="s">
        <v>30</v>
      </c>
      <c r="E292" t="s">
        <v>13</v>
      </c>
      <c r="F292" t="s">
        <v>25</v>
      </c>
      <c r="G292" t="s">
        <v>19</v>
      </c>
      <c r="H292">
        <v>8</v>
      </c>
      <c r="I292">
        <v>12000</v>
      </c>
      <c r="J292">
        <v>96000</v>
      </c>
      <c r="K292">
        <v>78720</v>
      </c>
      <c r="L292">
        <v>17280</v>
      </c>
    </row>
    <row r="293" spans="1:12" x14ac:dyDescent="0.3">
      <c r="A293" t="s">
        <v>903</v>
      </c>
      <c r="B293" t="s">
        <v>904</v>
      </c>
      <c r="C293" t="s">
        <v>905</v>
      </c>
      <c r="D293" t="s">
        <v>30</v>
      </c>
      <c r="E293" t="s">
        <v>13</v>
      </c>
      <c r="F293" t="s">
        <v>25</v>
      </c>
      <c r="G293" t="s">
        <v>84</v>
      </c>
      <c r="H293">
        <v>9</v>
      </c>
      <c r="I293">
        <v>12000</v>
      </c>
      <c r="J293">
        <v>108000</v>
      </c>
      <c r="K293">
        <v>88560</v>
      </c>
      <c r="L293">
        <v>19440</v>
      </c>
    </row>
    <row r="294" spans="1:12" x14ac:dyDescent="0.3">
      <c r="A294" t="s">
        <v>906</v>
      </c>
      <c r="B294" t="s">
        <v>907</v>
      </c>
      <c r="C294" t="s">
        <v>908</v>
      </c>
      <c r="D294" t="s">
        <v>59</v>
      </c>
      <c r="E294" t="s">
        <v>24</v>
      </c>
      <c r="F294" t="s">
        <v>25</v>
      </c>
      <c r="G294" t="s">
        <v>84</v>
      </c>
      <c r="H294">
        <v>8</v>
      </c>
      <c r="I294">
        <v>1500</v>
      </c>
      <c r="J294">
        <v>12000</v>
      </c>
      <c r="K294">
        <v>9840</v>
      </c>
      <c r="L294">
        <v>2160</v>
      </c>
    </row>
    <row r="295" spans="1:12" x14ac:dyDescent="0.3">
      <c r="A295" t="s">
        <v>909</v>
      </c>
      <c r="B295" t="s">
        <v>910</v>
      </c>
      <c r="C295" t="s">
        <v>911</v>
      </c>
      <c r="D295" t="s">
        <v>34</v>
      </c>
      <c r="E295" t="s">
        <v>24</v>
      </c>
      <c r="F295" t="s">
        <v>52</v>
      </c>
      <c r="G295" t="s">
        <v>26</v>
      </c>
      <c r="H295">
        <v>6</v>
      </c>
      <c r="I295">
        <v>3000</v>
      </c>
      <c r="J295">
        <v>18000</v>
      </c>
      <c r="K295">
        <v>14760</v>
      </c>
      <c r="L295">
        <v>3240</v>
      </c>
    </row>
    <row r="296" spans="1:12" x14ac:dyDescent="0.3">
      <c r="A296" t="s">
        <v>912</v>
      </c>
      <c r="B296" t="s">
        <v>913</v>
      </c>
      <c r="C296" t="s">
        <v>914</v>
      </c>
      <c r="D296" t="s">
        <v>34</v>
      </c>
      <c r="E296" t="s">
        <v>24</v>
      </c>
      <c r="F296" t="s">
        <v>25</v>
      </c>
      <c r="G296" t="s">
        <v>19</v>
      </c>
      <c r="H296">
        <v>4</v>
      </c>
      <c r="I296">
        <v>3000</v>
      </c>
      <c r="J296">
        <v>12000</v>
      </c>
      <c r="K296">
        <v>9840</v>
      </c>
      <c r="L296">
        <v>2160</v>
      </c>
    </row>
    <row r="297" spans="1:12" x14ac:dyDescent="0.3">
      <c r="A297" t="s">
        <v>915</v>
      </c>
      <c r="B297" t="s">
        <v>916</v>
      </c>
      <c r="C297" t="s">
        <v>917</v>
      </c>
      <c r="D297" t="s">
        <v>50</v>
      </c>
      <c r="E297" t="s">
        <v>51</v>
      </c>
      <c r="F297" t="s">
        <v>38</v>
      </c>
      <c r="G297" t="s">
        <v>15</v>
      </c>
      <c r="H297">
        <v>7</v>
      </c>
      <c r="I297">
        <v>2200</v>
      </c>
      <c r="J297">
        <v>15400</v>
      </c>
      <c r="K297">
        <v>12628</v>
      </c>
      <c r="L297">
        <v>2772</v>
      </c>
    </row>
    <row r="298" spans="1:12" x14ac:dyDescent="0.3">
      <c r="A298" t="s">
        <v>918</v>
      </c>
      <c r="B298" t="s">
        <v>919</v>
      </c>
      <c r="C298" t="s">
        <v>920</v>
      </c>
      <c r="D298" t="s">
        <v>59</v>
      </c>
      <c r="E298" t="s">
        <v>24</v>
      </c>
      <c r="F298" t="s">
        <v>52</v>
      </c>
      <c r="G298" t="s">
        <v>84</v>
      </c>
      <c r="H298">
        <v>8</v>
      </c>
      <c r="I298">
        <v>1500</v>
      </c>
      <c r="J298">
        <v>12000</v>
      </c>
      <c r="K298">
        <v>9840</v>
      </c>
      <c r="L298">
        <v>2160</v>
      </c>
    </row>
    <row r="299" spans="1:12" x14ac:dyDescent="0.3">
      <c r="A299" t="s">
        <v>921</v>
      </c>
      <c r="B299" t="s">
        <v>922</v>
      </c>
      <c r="C299" t="s">
        <v>923</v>
      </c>
      <c r="D299" t="s">
        <v>59</v>
      </c>
      <c r="E299" t="s">
        <v>24</v>
      </c>
      <c r="F299" t="s">
        <v>25</v>
      </c>
      <c r="G299" t="s">
        <v>26</v>
      </c>
      <c r="H299">
        <v>5</v>
      </c>
      <c r="I299">
        <v>1500</v>
      </c>
      <c r="J299">
        <v>7500</v>
      </c>
      <c r="K299">
        <v>6150</v>
      </c>
      <c r="L299">
        <v>1350</v>
      </c>
    </row>
    <row r="300" spans="1:12" x14ac:dyDescent="0.3">
      <c r="A300" t="s">
        <v>924</v>
      </c>
      <c r="B300" t="s">
        <v>925</v>
      </c>
      <c r="C300" t="s">
        <v>926</v>
      </c>
      <c r="D300" t="s">
        <v>50</v>
      </c>
      <c r="E300" t="s">
        <v>51</v>
      </c>
      <c r="F300" t="s">
        <v>14</v>
      </c>
      <c r="G300" t="s">
        <v>15</v>
      </c>
      <c r="H300">
        <v>7</v>
      </c>
      <c r="I300">
        <v>2200</v>
      </c>
      <c r="J300">
        <v>15400</v>
      </c>
      <c r="K300">
        <v>12628</v>
      </c>
      <c r="L300">
        <v>2772</v>
      </c>
    </row>
    <row r="301" spans="1:12" x14ac:dyDescent="0.3">
      <c r="A301" t="s">
        <v>927</v>
      </c>
      <c r="B301" t="s">
        <v>928</v>
      </c>
      <c r="C301" t="s">
        <v>929</v>
      </c>
      <c r="D301" t="s">
        <v>42</v>
      </c>
      <c r="E301" t="s">
        <v>13</v>
      </c>
      <c r="F301" t="s">
        <v>14</v>
      </c>
      <c r="G301" t="s">
        <v>19</v>
      </c>
      <c r="H301">
        <v>7</v>
      </c>
      <c r="I301">
        <v>15000</v>
      </c>
      <c r="J301">
        <v>105000</v>
      </c>
      <c r="K301">
        <v>86100</v>
      </c>
      <c r="L301">
        <v>18900</v>
      </c>
    </row>
    <row r="302" spans="1:12" x14ac:dyDescent="0.3">
      <c r="A302" t="s">
        <v>930</v>
      </c>
      <c r="B302" t="s">
        <v>931</v>
      </c>
      <c r="C302" t="s">
        <v>932</v>
      </c>
      <c r="D302" t="s">
        <v>59</v>
      </c>
      <c r="E302" t="s">
        <v>24</v>
      </c>
      <c r="F302" t="s">
        <v>14</v>
      </c>
      <c r="G302" t="s">
        <v>15</v>
      </c>
      <c r="H302">
        <v>8</v>
      </c>
      <c r="I302">
        <v>1500</v>
      </c>
      <c r="J302">
        <v>12000</v>
      </c>
      <c r="K302">
        <v>9840</v>
      </c>
      <c r="L302">
        <v>2160</v>
      </c>
    </row>
    <row r="303" spans="1:12" x14ac:dyDescent="0.3">
      <c r="A303" t="s">
        <v>933</v>
      </c>
      <c r="B303" t="s">
        <v>934</v>
      </c>
      <c r="C303" t="s">
        <v>935</v>
      </c>
      <c r="D303" t="s">
        <v>23</v>
      </c>
      <c r="E303" t="s">
        <v>24</v>
      </c>
      <c r="F303" t="s">
        <v>38</v>
      </c>
      <c r="G303" t="s">
        <v>19</v>
      </c>
      <c r="H303">
        <v>7</v>
      </c>
      <c r="I303">
        <v>800</v>
      </c>
      <c r="J303">
        <v>5600</v>
      </c>
      <c r="K303">
        <v>4592</v>
      </c>
      <c r="L303">
        <v>1008</v>
      </c>
    </row>
    <row r="304" spans="1:12" x14ac:dyDescent="0.3">
      <c r="A304" t="s">
        <v>936</v>
      </c>
      <c r="B304" t="s">
        <v>937</v>
      </c>
      <c r="C304" t="s">
        <v>938</v>
      </c>
      <c r="D304" t="s">
        <v>34</v>
      </c>
      <c r="E304" t="s">
        <v>24</v>
      </c>
      <c r="F304" t="s">
        <v>25</v>
      </c>
      <c r="G304" t="s">
        <v>26</v>
      </c>
      <c r="H304">
        <v>6</v>
      </c>
      <c r="I304">
        <v>3000</v>
      </c>
      <c r="J304">
        <v>18000</v>
      </c>
      <c r="K304">
        <v>14760</v>
      </c>
      <c r="L304">
        <v>3240</v>
      </c>
    </row>
    <row r="305" spans="1:12" x14ac:dyDescent="0.3">
      <c r="A305" t="s">
        <v>939</v>
      </c>
      <c r="B305" t="s">
        <v>940</v>
      </c>
      <c r="C305" t="s">
        <v>941</v>
      </c>
      <c r="D305" t="s">
        <v>50</v>
      </c>
      <c r="E305" t="s">
        <v>51</v>
      </c>
      <c r="F305" t="s">
        <v>38</v>
      </c>
      <c r="G305" t="s">
        <v>15</v>
      </c>
      <c r="H305">
        <v>7</v>
      </c>
      <c r="I305">
        <v>2200</v>
      </c>
      <c r="J305">
        <v>15400</v>
      </c>
      <c r="K305">
        <v>12628</v>
      </c>
      <c r="L305">
        <v>2772</v>
      </c>
    </row>
    <row r="306" spans="1:12" x14ac:dyDescent="0.3">
      <c r="A306" t="s">
        <v>942</v>
      </c>
      <c r="B306" t="s">
        <v>943</v>
      </c>
      <c r="C306" t="s">
        <v>944</v>
      </c>
      <c r="D306" t="s">
        <v>106</v>
      </c>
      <c r="E306" t="s">
        <v>107</v>
      </c>
      <c r="F306" t="s">
        <v>38</v>
      </c>
      <c r="G306" t="s">
        <v>43</v>
      </c>
      <c r="H306">
        <v>3</v>
      </c>
      <c r="I306">
        <v>6500</v>
      </c>
      <c r="J306">
        <v>19500</v>
      </c>
      <c r="K306">
        <v>15989</v>
      </c>
      <c r="L306">
        <v>3511</v>
      </c>
    </row>
    <row r="307" spans="1:12" x14ac:dyDescent="0.3">
      <c r="A307" t="s">
        <v>945</v>
      </c>
      <c r="B307" t="s">
        <v>946</v>
      </c>
      <c r="C307" t="s">
        <v>947</v>
      </c>
      <c r="D307" t="s">
        <v>106</v>
      </c>
      <c r="E307" t="s">
        <v>107</v>
      </c>
      <c r="F307" t="s">
        <v>14</v>
      </c>
      <c r="G307" t="s">
        <v>43</v>
      </c>
      <c r="H307">
        <v>10</v>
      </c>
      <c r="I307">
        <v>6500</v>
      </c>
      <c r="J307">
        <v>65000</v>
      </c>
      <c r="K307">
        <v>53300</v>
      </c>
      <c r="L307">
        <v>11700</v>
      </c>
    </row>
    <row r="308" spans="1:12" x14ac:dyDescent="0.3">
      <c r="A308" t="s">
        <v>948</v>
      </c>
      <c r="B308" t="s">
        <v>949</v>
      </c>
      <c r="C308" t="s">
        <v>950</v>
      </c>
      <c r="D308" t="s">
        <v>59</v>
      </c>
      <c r="E308" t="s">
        <v>24</v>
      </c>
      <c r="F308" t="s">
        <v>38</v>
      </c>
      <c r="G308" t="s">
        <v>19</v>
      </c>
      <c r="H308">
        <v>9</v>
      </c>
      <c r="I308">
        <v>1500</v>
      </c>
      <c r="J308">
        <v>13500</v>
      </c>
      <c r="K308">
        <v>11070</v>
      </c>
      <c r="L308">
        <v>2430</v>
      </c>
    </row>
    <row r="309" spans="1:12" x14ac:dyDescent="0.3">
      <c r="A309" t="s">
        <v>951</v>
      </c>
      <c r="B309" t="s">
        <v>952</v>
      </c>
      <c r="C309" t="s">
        <v>953</v>
      </c>
      <c r="D309" t="s">
        <v>34</v>
      </c>
      <c r="E309" t="s">
        <v>24</v>
      </c>
      <c r="F309" t="s">
        <v>38</v>
      </c>
      <c r="G309" t="s">
        <v>84</v>
      </c>
      <c r="H309">
        <v>7</v>
      </c>
      <c r="I309">
        <v>3000</v>
      </c>
      <c r="J309">
        <v>21000</v>
      </c>
      <c r="K309">
        <v>17220</v>
      </c>
      <c r="L309">
        <v>3780</v>
      </c>
    </row>
    <row r="310" spans="1:12" x14ac:dyDescent="0.3">
      <c r="A310" t="s">
        <v>954</v>
      </c>
      <c r="B310" t="s">
        <v>955</v>
      </c>
      <c r="C310" t="s">
        <v>956</v>
      </c>
      <c r="D310" t="s">
        <v>59</v>
      </c>
      <c r="E310" t="s">
        <v>24</v>
      </c>
      <c r="F310" t="s">
        <v>38</v>
      </c>
      <c r="G310" t="s">
        <v>19</v>
      </c>
      <c r="H310">
        <v>3</v>
      </c>
      <c r="I310">
        <v>1500</v>
      </c>
      <c r="J310">
        <v>4500</v>
      </c>
      <c r="K310">
        <v>3690</v>
      </c>
      <c r="L310">
        <v>810</v>
      </c>
    </row>
    <row r="311" spans="1:12" x14ac:dyDescent="0.3">
      <c r="A311" t="s">
        <v>957</v>
      </c>
      <c r="B311" t="s">
        <v>958</v>
      </c>
      <c r="C311" t="s">
        <v>959</v>
      </c>
      <c r="D311" t="s">
        <v>59</v>
      </c>
      <c r="E311" t="s">
        <v>24</v>
      </c>
      <c r="F311" t="s">
        <v>14</v>
      </c>
      <c r="G311" t="s">
        <v>19</v>
      </c>
      <c r="H311">
        <v>4</v>
      </c>
      <c r="I311">
        <v>1500</v>
      </c>
      <c r="J311">
        <v>6000</v>
      </c>
      <c r="K311">
        <v>4920</v>
      </c>
      <c r="L311">
        <v>1080</v>
      </c>
    </row>
    <row r="312" spans="1:12" x14ac:dyDescent="0.3">
      <c r="A312" t="s">
        <v>960</v>
      </c>
      <c r="B312" t="s">
        <v>961</v>
      </c>
      <c r="C312" t="s">
        <v>962</v>
      </c>
      <c r="D312" t="s">
        <v>42</v>
      </c>
      <c r="E312" t="s">
        <v>13</v>
      </c>
      <c r="F312" t="s">
        <v>14</v>
      </c>
      <c r="G312" t="s">
        <v>84</v>
      </c>
      <c r="H312">
        <v>3</v>
      </c>
      <c r="I312">
        <v>15000</v>
      </c>
      <c r="J312">
        <v>45000</v>
      </c>
      <c r="K312">
        <v>36900</v>
      </c>
      <c r="L312">
        <v>8100</v>
      </c>
    </row>
    <row r="313" spans="1:12" x14ac:dyDescent="0.3">
      <c r="A313" t="s">
        <v>963</v>
      </c>
      <c r="B313" t="s">
        <v>964</v>
      </c>
      <c r="C313" t="s">
        <v>965</v>
      </c>
      <c r="D313" t="s">
        <v>23</v>
      </c>
      <c r="E313" t="s">
        <v>24</v>
      </c>
      <c r="F313" t="s">
        <v>38</v>
      </c>
      <c r="G313" t="s">
        <v>15</v>
      </c>
      <c r="H313">
        <v>1</v>
      </c>
      <c r="I313">
        <v>800</v>
      </c>
      <c r="J313">
        <v>800</v>
      </c>
      <c r="K313">
        <v>656</v>
      </c>
      <c r="L313">
        <v>144</v>
      </c>
    </row>
    <row r="314" spans="1:12" x14ac:dyDescent="0.3">
      <c r="A314" t="s">
        <v>966</v>
      </c>
      <c r="B314" t="s">
        <v>967</v>
      </c>
      <c r="C314" t="s">
        <v>968</v>
      </c>
      <c r="D314" t="s">
        <v>12</v>
      </c>
      <c r="E314" t="s">
        <v>13</v>
      </c>
      <c r="F314" t="s">
        <v>14</v>
      </c>
      <c r="G314" t="s">
        <v>19</v>
      </c>
      <c r="H314">
        <v>3</v>
      </c>
      <c r="I314">
        <v>50000</v>
      </c>
      <c r="J314">
        <v>150000</v>
      </c>
      <c r="K314">
        <v>122999</v>
      </c>
      <c r="L314">
        <v>27001</v>
      </c>
    </row>
    <row r="315" spans="1:12" x14ac:dyDescent="0.3">
      <c r="A315" t="s">
        <v>969</v>
      </c>
      <c r="B315" t="s">
        <v>970</v>
      </c>
      <c r="C315" t="s">
        <v>971</v>
      </c>
      <c r="D315" t="s">
        <v>12</v>
      </c>
      <c r="E315" t="s">
        <v>13</v>
      </c>
      <c r="F315" t="s">
        <v>52</v>
      </c>
      <c r="G315" t="s">
        <v>84</v>
      </c>
      <c r="H315">
        <v>9</v>
      </c>
      <c r="I315">
        <v>50000</v>
      </c>
      <c r="J315">
        <v>450000</v>
      </c>
      <c r="K315">
        <v>369000</v>
      </c>
      <c r="L315">
        <v>81000</v>
      </c>
    </row>
    <row r="316" spans="1:12" x14ac:dyDescent="0.3">
      <c r="A316" t="s">
        <v>972</v>
      </c>
      <c r="B316" t="s">
        <v>973</v>
      </c>
      <c r="C316" t="s">
        <v>974</v>
      </c>
      <c r="D316" t="s">
        <v>50</v>
      </c>
      <c r="E316" t="s">
        <v>51</v>
      </c>
      <c r="F316" t="s">
        <v>52</v>
      </c>
      <c r="G316" t="s">
        <v>84</v>
      </c>
      <c r="H316">
        <v>3</v>
      </c>
      <c r="I316">
        <v>2200</v>
      </c>
      <c r="J316">
        <v>6600</v>
      </c>
      <c r="K316">
        <v>5412</v>
      </c>
      <c r="L316">
        <v>1188</v>
      </c>
    </row>
    <row r="317" spans="1:12" x14ac:dyDescent="0.3">
      <c r="A317" t="s">
        <v>975</v>
      </c>
      <c r="B317" t="s">
        <v>976</v>
      </c>
      <c r="C317" t="s">
        <v>977</v>
      </c>
      <c r="D317" t="s">
        <v>59</v>
      </c>
      <c r="E317" t="s">
        <v>24</v>
      </c>
      <c r="F317" t="s">
        <v>14</v>
      </c>
      <c r="G317" t="s">
        <v>26</v>
      </c>
      <c r="H317">
        <v>5</v>
      </c>
      <c r="I317">
        <v>1500</v>
      </c>
      <c r="J317">
        <v>7500</v>
      </c>
      <c r="K317">
        <v>6150</v>
      </c>
      <c r="L317">
        <v>1350</v>
      </c>
    </row>
    <row r="318" spans="1:12" x14ac:dyDescent="0.3">
      <c r="A318" t="s">
        <v>978</v>
      </c>
      <c r="B318" t="s">
        <v>979</v>
      </c>
      <c r="C318" t="s">
        <v>980</v>
      </c>
      <c r="D318" t="s">
        <v>42</v>
      </c>
      <c r="E318" t="s">
        <v>13</v>
      </c>
      <c r="F318" t="s">
        <v>52</v>
      </c>
      <c r="G318" t="s">
        <v>26</v>
      </c>
      <c r="H318">
        <v>1</v>
      </c>
      <c r="I318">
        <v>15000</v>
      </c>
      <c r="J318">
        <v>15000</v>
      </c>
      <c r="K318">
        <v>12300</v>
      </c>
      <c r="L318">
        <v>2700</v>
      </c>
    </row>
    <row r="319" spans="1:12" x14ac:dyDescent="0.3">
      <c r="A319" t="s">
        <v>981</v>
      </c>
      <c r="B319" t="s">
        <v>982</v>
      </c>
      <c r="C319" t="s">
        <v>983</v>
      </c>
      <c r="D319" t="s">
        <v>23</v>
      </c>
      <c r="E319" t="s">
        <v>24</v>
      </c>
      <c r="F319" t="s">
        <v>25</v>
      </c>
      <c r="G319" t="s">
        <v>43</v>
      </c>
      <c r="H319">
        <v>6</v>
      </c>
      <c r="I319">
        <v>800</v>
      </c>
      <c r="J319">
        <v>4800</v>
      </c>
      <c r="K319">
        <v>3935</v>
      </c>
      <c r="L319">
        <v>865</v>
      </c>
    </row>
    <row r="320" spans="1:12" x14ac:dyDescent="0.3">
      <c r="A320" t="s">
        <v>984</v>
      </c>
      <c r="B320" t="s">
        <v>985</v>
      </c>
      <c r="C320" t="s">
        <v>986</v>
      </c>
      <c r="D320" t="s">
        <v>106</v>
      </c>
      <c r="E320" t="s">
        <v>107</v>
      </c>
      <c r="F320" t="s">
        <v>14</v>
      </c>
      <c r="G320" t="s">
        <v>19</v>
      </c>
      <c r="H320">
        <v>7</v>
      </c>
      <c r="I320">
        <v>6500</v>
      </c>
      <c r="J320">
        <v>45500</v>
      </c>
      <c r="K320">
        <v>37310</v>
      </c>
      <c r="L320">
        <v>8190</v>
      </c>
    </row>
    <row r="321" spans="1:12" x14ac:dyDescent="0.3">
      <c r="A321" t="s">
        <v>987</v>
      </c>
      <c r="B321" t="s">
        <v>988</v>
      </c>
      <c r="C321" t="s">
        <v>989</v>
      </c>
      <c r="D321" t="s">
        <v>50</v>
      </c>
      <c r="E321" t="s">
        <v>51</v>
      </c>
      <c r="F321" t="s">
        <v>25</v>
      </c>
      <c r="G321" t="s">
        <v>43</v>
      </c>
      <c r="H321">
        <v>1</v>
      </c>
      <c r="I321">
        <v>2200</v>
      </c>
      <c r="J321">
        <v>2200</v>
      </c>
      <c r="K321">
        <v>1804</v>
      </c>
      <c r="L321">
        <v>396</v>
      </c>
    </row>
    <row r="322" spans="1:12" x14ac:dyDescent="0.3">
      <c r="A322" t="s">
        <v>990</v>
      </c>
      <c r="B322" t="s">
        <v>991</v>
      </c>
      <c r="C322" t="s">
        <v>992</v>
      </c>
      <c r="D322" t="s">
        <v>106</v>
      </c>
      <c r="E322" t="s">
        <v>107</v>
      </c>
      <c r="F322" t="s">
        <v>14</v>
      </c>
      <c r="G322" t="s">
        <v>15</v>
      </c>
      <c r="H322">
        <v>3</v>
      </c>
      <c r="I322">
        <v>6500</v>
      </c>
      <c r="J322">
        <v>19500</v>
      </c>
      <c r="K322">
        <v>15989</v>
      </c>
      <c r="L322">
        <v>3511</v>
      </c>
    </row>
    <row r="323" spans="1:12" x14ac:dyDescent="0.3">
      <c r="A323" t="s">
        <v>993</v>
      </c>
      <c r="B323" t="s">
        <v>994</v>
      </c>
      <c r="C323" t="s">
        <v>995</v>
      </c>
      <c r="D323" t="s">
        <v>30</v>
      </c>
      <c r="E323" t="s">
        <v>13</v>
      </c>
      <c r="F323" t="s">
        <v>25</v>
      </c>
      <c r="G323" t="s">
        <v>43</v>
      </c>
      <c r="H323">
        <v>1</v>
      </c>
      <c r="I323">
        <v>12000</v>
      </c>
      <c r="J323">
        <v>12000</v>
      </c>
      <c r="K323">
        <v>9840</v>
      </c>
      <c r="L323">
        <v>2160</v>
      </c>
    </row>
    <row r="324" spans="1:12" x14ac:dyDescent="0.3">
      <c r="A324" t="s">
        <v>996</v>
      </c>
      <c r="B324" t="s">
        <v>997</v>
      </c>
      <c r="C324" t="s">
        <v>998</v>
      </c>
      <c r="D324" t="s">
        <v>30</v>
      </c>
      <c r="E324" t="s">
        <v>13</v>
      </c>
      <c r="F324" t="s">
        <v>14</v>
      </c>
      <c r="G324" t="s">
        <v>15</v>
      </c>
      <c r="H324">
        <v>8</v>
      </c>
      <c r="I324">
        <v>12000</v>
      </c>
      <c r="J324">
        <v>96000</v>
      </c>
      <c r="K324">
        <v>78720</v>
      </c>
      <c r="L324">
        <v>17280</v>
      </c>
    </row>
    <row r="325" spans="1:12" x14ac:dyDescent="0.3">
      <c r="A325" t="s">
        <v>999</v>
      </c>
      <c r="B325" t="s">
        <v>1000</v>
      </c>
      <c r="C325" t="s">
        <v>1001</v>
      </c>
      <c r="D325" t="s">
        <v>34</v>
      </c>
      <c r="E325" t="s">
        <v>24</v>
      </c>
      <c r="F325" t="s">
        <v>38</v>
      </c>
      <c r="G325" t="s">
        <v>43</v>
      </c>
      <c r="H325">
        <v>6</v>
      </c>
      <c r="I325">
        <v>3000</v>
      </c>
      <c r="J325">
        <v>18000</v>
      </c>
      <c r="K325">
        <v>14760</v>
      </c>
      <c r="L325">
        <v>3240</v>
      </c>
    </row>
    <row r="326" spans="1:12" x14ac:dyDescent="0.3">
      <c r="A326" t="s">
        <v>1002</v>
      </c>
      <c r="B326" t="s">
        <v>1003</v>
      </c>
      <c r="C326" t="s">
        <v>1004</v>
      </c>
      <c r="D326" t="s">
        <v>12</v>
      </c>
      <c r="E326" t="s">
        <v>13</v>
      </c>
      <c r="F326" t="s">
        <v>52</v>
      </c>
      <c r="G326" t="s">
        <v>43</v>
      </c>
      <c r="H326">
        <v>3</v>
      </c>
      <c r="I326">
        <v>50000</v>
      </c>
      <c r="J326">
        <v>150000</v>
      </c>
      <c r="K326">
        <v>122999</v>
      </c>
      <c r="L326">
        <v>27001</v>
      </c>
    </row>
    <row r="327" spans="1:12" x14ac:dyDescent="0.3">
      <c r="A327" t="s">
        <v>1005</v>
      </c>
      <c r="B327" t="s">
        <v>1006</v>
      </c>
      <c r="C327" t="s">
        <v>1007</v>
      </c>
      <c r="D327" t="s">
        <v>106</v>
      </c>
      <c r="E327" t="s">
        <v>107</v>
      </c>
      <c r="F327" t="s">
        <v>25</v>
      </c>
      <c r="G327" t="s">
        <v>84</v>
      </c>
      <c r="H327">
        <v>8</v>
      </c>
      <c r="I327">
        <v>6500</v>
      </c>
      <c r="J327">
        <v>52000</v>
      </c>
      <c r="K327">
        <v>42640</v>
      </c>
      <c r="L327">
        <v>9360</v>
      </c>
    </row>
    <row r="328" spans="1:12" x14ac:dyDescent="0.3">
      <c r="A328" t="s">
        <v>1008</v>
      </c>
      <c r="B328" t="s">
        <v>1009</v>
      </c>
      <c r="C328" t="s">
        <v>1010</v>
      </c>
      <c r="D328" t="s">
        <v>42</v>
      </c>
      <c r="E328" t="s">
        <v>13</v>
      </c>
      <c r="F328" t="s">
        <v>38</v>
      </c>
      <c r="G328" t="s">
        <v>15</v>
      </c>
      <c r="H328">
        <v>5</v>
      </c>
      <c r="I328">
        <v>15000</v>
      </c>
      <c r="J328">
        <v>75000</v>
      </c>
      <c r="K328">
        <v>61499</v>
      </c>
      <c r="L328">
        <v>13501</v>
      </c>
    </row>
    <row r="329" spans="1:12" x14ac:dyDescent="0.3">
      <c r="A329" t="s">
        <v>1011</v>
      </c>
      <c r="B329" t="s">
        <v>1012</v>
      </c>
      <c r="C329" t="s">
        <v>1013</v>
      </c>
      <c r="D329" t="s">
        <v>23</v>
      </c>
      <c r="E329" t="s">
        <v>24</v>
      </c>
      <c r="F329" t="s">
        <v>38</v>
      </c>
      <c r="G329" t="s">
        <v>15</v>
      </c>
      <c r="H329">
        <v>6</v>
      </c>
      <c r="I329">
        <v>800</v>
      </c>
      <c r="J329">
        <v>4800</v>
      </c>
      <c r="K329">
        <v>3935</v>
      </c>
      <c r="L329">
        <v>865</v>
      </c>
    </row>
    <row r="330" spans="1:12" x14ac:dyDescent="0.3">
      <c r="A330" t="s">
        <v>1014</v>
      </c>
      <c r="B330" t="s">
        <v>1015</v>
      </c>
      <c r="C330" t="s">
        <v>1016</v>
      </c>
      <c r="D330" t="s">
        <v>59</v>
      </c>
      <c r="E330" t="s">
        <v>24</v>
      </c>
      <c r="F330" t="s">
        <v>14</v>
      </c>
      <c r="G330" t="s">
        <v>19</v>
      </c>
      <c r="H330">
        <v>4</v>
      </c>
      <c r="I330">
        <v>1500</v>
      </c>
      <c r="J330">
        <v>6000</v>
      </c>
      <c r="K330">
        <v>4920</v>
      </c>
      <c r="L330">
        <v>1080</v>
      </c>
    </row>
    <row r="331" spans="1:12" x14ac:dyDescent="0.3">
      <c r="A331" t="s">
        <v>1017</v>
      </c>
      <c r="B331" t="s">
        <v>1018</v>
      </c>
      <c r="C331" t="s">
        <v>1019</v>
      </c>
      <c r="D331" t="s">
        <v>106</v>
      </c>
      <c r="E331" t="s">
        <v>107</v>
      </c>
      <c r="F331" t="s">
        <v>52</v>
      </c>
      <c r="G331" t="s">
        <v>26</v>
      </c>
      <c r="H331">
        <v>1</v>
      </c>
      <c r="I331">
        <v>6500</v>
      </c>
      <c r="J331">
        <v>6500</v>
      </c>
      <c r="K331">
        <v>5330</v>
      </c>
      <c r="L331">
        <v>1170</v>
      </c>
    </row>
    <row r="332" spans="1:12" x14ac:dyDescent="0.3">
      <c r="A332" t="s">
        <v>1020</v>
      </c>
      <c r="B332" t="s">
        <v>1021</v>
      </c>
      <c r="C332" t="s">
        <v>1022</v>
      </c>
      <c r="D332" t="s">
        <v>23</v>
      </c>
      <c r="E332" t="s">
        <v>24</v>
      </c>
      <c r="F332" t="s">
        <v>25</v>
      </c>
      <c r="G332" t="s">
        <v>26</v>
      </c>
      <c r="H332">
        <v>1</v>
      </c>
      <c r="I332">
        <v>800</v>
      </c>
      <c r="J332">
        <v>800</v>
      </c>
      <c r="K332">
        <v>656</v>
      </c>
      <c r="L332">
        <v>144</v>
      </c>
    </row>
    <row r="333" spans="1:12" x14ac:dyDescent="0.3">
      <c r="A333" t="s">
        <v>1023</v>
      </c>
      <c r="B333" t="s">
        <v>1024</v>
      </c>
      <c r="C333" t="s">
        <v>1025</v>
      </c>
      <c r="D333" t="s">
        <v>106</v>
      </c>
      <c r="E333" t="s">
        <v>107</v>
      </c>
      <c r="F333" t="s">
        <v>52</v>
      </c>
      <c r="G333" t="s">
        <v>26</v>
      </c>
      <c r="H333">
        <v>9</v>
      </c>
      <c r="I333">
        <v>6500</v>
      </c>
      <c r="J333">
        <v>58500</v>
      </c>
      <c r="K333">
        <v>47970</v>
      </c>
      <c r="L333">
        <v>10530</v>
      </c>
    </row>
    <row r="334" spans="1:12" x14ac:dyDescent="0.3">
      <c r="A334" t="s">
        <v>1026</v>
      </c>
      <c r="B334" t="s">
        <v>1027</v>
      </c>
      <c r="C334" t="s">
        <v>1028</v>
      </c>
      <c r="D334" t="s">
        <v>50</v>
      </c>
      <c r="E334" t="s">
        <v>51</v>
      </c>
      <c r="F334" t="s">
        <v>25</v>
      </c>
      <c r="G334" t="s">
        <v>43</v>
      </c>
      <c r="H334">
        <v>8</v>
      </c>
      <c r="I334">
        <v>2200</v>
      </c>
      <c r="J334">
        <v>17600</v>
      </c>
      <c r="K334">
        <v>14432</v>
      </c>
      <c r="L334">
        <v>3168</v>
      </c>
    </row>
    <row r="335" spans="1:12" x14ac:dyDescent="0.3">
      <c r="A335" t="s">
        <v>1029</v>
      </c>
      <c r="B335" t="s">
        <v>1030</v>
      </c>
      <c r="C335" t="s">
        <v>1031</v>
      </c>
      <c r="D335" t="s">
        <v>42</v>
      </c>
      <c r="E335" t="s">
        <v>13</v>
      </c>
      <c r="F335" t="s">
        <v>25</v>
      </c>
      <c r="G335" t="s">
        <v>26</v>
      </c>
      <c r="H335">
        <v>9</v>
      </c>
      <c r="I335">
        <v>15000</v>
      </c>
      <c r="J335">
        <v>135000</v>
      </c>
      <c r="K335">
        <v>110700</v>
      </c>
      <c r="L335">
        <v>24300</v>
      </c>
    </row>
    <row r="336" spans="1:12" x14ac:dyDescent="0.3">
      <c r="A336" t="s">
        <v>1032</v>
      </c>
      <c r="B336" t="s">
        <v>1033</v>
      </c>
      <c r="C336" t="s">
        <v>1034</v>
      </c>
      <c r="D336" t="s">
        <v>50</v>
      </c>
      <c r="E336" t="s">
        <v>51</v>
      </c>
      <c r="F336" t="s">
        <v>14</v>
      </c>
      <c r="G336" t="s">
        <v>19</v>
      </c>
      <c r="H336">
        <v>1</v>
      </c>
      <c r="I336">
        <v>2200</v>
      </c>
      <c r="J336">
        <v>2200</v>
      </c>
      <c r="K336">
        <v>1804</v>
      </c>
      <c r="L336">
        <v>396</v>
      </c>
    </row>
    <row r="337" spans="1:12" x14ac:dyDescent="0.3">
      <c r="A337" t="s">
        <v>1035</v>
      </c>
      <c r="B337" t="s">
        <v>1036</v>
      </c>
      <c r="C337" t="s">
        <v>1037</v>
      </c>
      <c r="D337" t="s">
        <v>23</v>
      </c>
      <c r="E337" t="s">
        <v>24</v>
      </c>
      <c r="F337" t="s">
        <v>25</v>
      </c>
      <c r="G337" t="s">
        <v>84</v>
      </c>
      <c r="H337">
        <v>3</v>
      </c>
      <c r="I337">
        <v>800</v>
      </c>
      <c r="J337">
        <v>2400</v>
      </c>
      <c r="K337">
        <v>1967</v>
      </c>
      <c r="L337">
        <v>433</v>
      </c>
    </row>
    <row r="338" spans="1:12" x14ac:dyDescent="0.3">
      <c r="A338" t="s">
        <v>1038</v>
      </c>
      <c r="B338" t="s">
        <v>1039</v>
      </c>
      <c r="C338" t="s">
        <v>1040</v>
      </c>
      <c r="D338" t="s">
        <v>12</v>
      </c>
      <c r="E338" t="s">
        <v>13</v>
      </c>
      <c r="F338" t="s">
        <v>14</v>
      </c>
      <c r="G338" t="s">
        <v>43</v>
      </c>
      <c r="H338">
        <v>5</v>
      </c>
      <c r="I338">
        <v>50000</v>
      </c>
      <c r="J338">
        <v>250000</v>
      </c>
      <c r="K338">
        <v>205000</v>
      </c>
      <c r="L338">
        <v>45000</v>
      </c>
    </row>
    <row r="339" spans="1:12" x14ac:dyDescent="0.3">
      <c r="A339" t="s">
        <v>1041</v>
      </c>
      <c r="B339" t="s">
        <v>1042</v>
      </c>
      <c r="C339" t="s">
        <v>1043</v>
      </c>
      <c r="D339" t="s">
        <v>34</v>
      </c>
      <c r="E339" t="s">
        <v>24</v>
      </c>
      <c r="F339" t="s">
        <v>25</v>
      </c>
      <c r="G339" t="s">
        <v>43</v>
      </c>
      <c r="H339">
        <v>2</v>
      </c>
      <c r="I339">
        <v>3000</v>
      </c>
      <c r="J339">
        <v>6000</v>
      </c>
      <c r="K339">
        <v>4920</v>
      </c>
      <c r="L339">
        <v>1080</v>
      </c>
    </row>
    <row r="340" spans="1:12" x14ac:dyDescent="0.3">
      <c r="A340" t="s">
        <v>1044</v>
      </c>
      <c r="B340" t="s">
        <v>1045</v>
      </c>
      <c r="C340" t="s">
        <v>1046</v>
      </c>
      <c r="D340" t="s">
        <v>34</v>
      </c>
      <c r="E340" t="s">
        <v>24</v>
      </c>
      <c r="F340" t="s">
        <v>14</v>
      </c>
      <c r="G340" t="s">
        <v>26</v>
      </c>
      <c r="H340">
        <v>7</v>
      </c>
      <c r="I340">
        <v>3000</v>
      </c>
      <c r="J340">
        <v>21000</v>
      </c>
      <c r="K340">
        <v>17220</v>
      </c>
      <c r="L340">
        <v>3780</v>
      </c>
    </row>
    <row r="341" spans="1:12" x14ac:dyDescent="0.3">
      <c r="A341" t="s">
        <v>1047</v>
      </c>
      <c r="B341" t="s">
        <v>1048</v>
      </c>
      <c r="C341" t="s">
        <v>1049</v>
      </c>
      <c r="D341" t="s">
        <v>42</v>
      </c>
      <c r="E341" t="s">
        <v>13</v>
      </c>
      <c r="F341" t="s">
        <v>38</v>
      </c>
      <c r="G341" t="s">
        <v>26</v>
      </c>
      <c r="H341">
        <v>8</v>
      </c>
      <c r="I341">
        <v>15000</v>
      </c>
      <c r="J341">
        <v>120000</v>
      </c>
      <c r="K341">
        <v>98400</v>
      </c>
      <c r="L341">
        <v>21600</v>
      </c>
    </row>
    <row r="342" spans="1:12" x14ac:dyDescent="0.3">
      <c r="A342" t="s">
        <v>1050</v>
      </c>
      <c r="B342" t="s">
        <v>1051</v>
      </c>
      <c r="C342" t="s">
        <v>1052</v>
      </c>
      <c r="D342" t="s">
        <v>12</v>
      </c>
      <c r="E342" t="s">
        <v>13</v>
      </c>
      <c r="F342" t="s">
        <v>14</v>
      </c>
      <c r="G342" t="s">
        <v>43</v>
      </c>
      <c r="H342">
        <v>1</v>
      </c>
      <c r="I342">
        <v>50000</v>
      </c>
      <c r="J342">
        <v>50000</v>
      </c>
      <c r="K342">
        <v>41000</v>
      </c>
      <c r="L342">
        <v>9000</v>
      </c>
    </row>
    <row r="343" spans="1:12" x14ac:dyDescent="0.3">
      <c r="A343" t="s">
        <v>1053</v>
      </c>
      <c r="B343" t="s">
        <v>1054</v>
      </c>
      <c r="C343" t="s">
        <v>1055</v>
      </c>
      <c r="D343" t="s">
        <v>34</v>
      </c>
      <c r="E343" t="s">
        <v>24</v>
      </c>
      <c r="F343" t="s">
        <v>52</v>
      </c>
      <c r="G343" t="s">
        <v>19</v>
      </c>
      <c r="H343">
        <v>7</v>
      </c>
      <c r="I343">
        <v>3000</v>
      </c>
      <c r="J343">
        <v>21000</v>
      </c>
      <c r="K343">
        <v>17220</v>
      </c>
      <c r="L343">
        <v>3780</v>
      </c>
    </row>
    <row r="344" spans="1:12" x14ac:dyDescent="0.3">
      <c r="A344" t="s">
        <v>1056</v>
      </c>
      <c r="B344" t="s">
        <v>1057</v>
      </c>
      <c r="C344" t="s">
        <v>1058</v>
      </c>
      <c r="D344" t="s">
        <v>106</v>
      </c>
      <c r="E344" t="s">
        <v>107</v>
      </c>
      <c r="F344" t="s">
        <v>25</v>
      </c>
      <c r="G344" t="s">
        <v>19</v>
      </c>
      <c r="H344">
        <v>7</v>
      </c>
      <c r="I344">
        <v>6500</v>
      </c>
      <c r="J344">
        <v>45500</v>
      </c>
      <c r="K344">
        <v>37310</v>
      </c>
      <c r="L344">
        <v>8190</v>
      </c>
    </row>
    <row r="345" spans="1:12" x14ac:dyDescent="0.3">
      <c r="A345" t="s">
        <v>1059</v>
      </c>
      <c r="B345" t="s">
        <v>1060</v>
      </c>
      <c r="C345" t="s">
        <v>1061</v>
      </c>
      <c r="D345" t="s">
        <v>30</v>
      </c>
      <c r="E345" t="s">
        <v>13</v>
      </c>
      <c r="F345" t="s">
        <v>52</v>
      </c>
      <c r="G345" t="s">
        <v>15</v>
      </c>
      <c r="H345">
        <v>4</v>
      </c>
      <c r="I345">
        <v>12000</v>
      </c>
      <c r="J345">
        <v>48000</v>
      </c>
      <c r="K345">
        <v>39360</v>
      </c>
      <c r="L345">
        <v>8640</v>
      </c>
    </row>
    <row r="346" spans="1:12" x14ac:dyDescent="0.3">
      <c r="A346" t="s">
        <v>1062</v>
      </c>
      <c r="B346" t="s">
        <v>1063</v>
      </c>
      <c r="C346" t="s">
        <v>1064</v>
      </c>
      <c r="D346" t="s">
        <v>59</v>
      </c>
      <c r="E346" t="s">
        <v>24</v>
      </c>
      <c r="F346" t="s">
        <v>14</v>
      </c>
      <c r="G346" t="s">
        <v>15</v>
      </c>
      <c r="H346">
        <v>9</v>
      </c>
      <c r="I346">
        <v>1500</v>
      </c>
      <c r="J346">
        <v>13500</v>
      </c>
      <c r="K346">
        <v>11070</v>
      </c>
      <c r="L346">
        <v>2430</v>
      </c>
    </row>
    <row r="347" spans="1:12" x14ac:dyDescent="0.3">
      <c r="A347" t="s">
        <v>1065</v>
      </c>
      <c r="B347" t="s">
        <v>1066</v>
      </c>
      <c r="C347" t="s">
        <v>1067</v>
      </c>
      <c r="D347" t="s">
        <v>30</v>
      </c>
      <c r="E347" t="s">
        <v>13</v>
      </c>
      <c r="F347" t="s">
        <v>38</v>
      </c>
      <c r="G347" t="s">
        <v>26</v>
      </c>
      <c r="H347">
        <v>1</v>
      </c>
      <c r="I347">
        <v>12000</v>
      </c>
      <c r="J347">
        <v>12000</v>
      </c>
      <c r="K347">
        <v>9840</v>
      </c>
      <c r="L347">
        <v>2160</v>
      </c>
    </row>
    <row r="348" spans="1:12" x14ac:dyDescent="0.3">
      <c r="A348" t="s">
        <v>1068</v>
      </c>
      <c r="B348" t="s">
        <v>1069</v>
      </c>
      <c r="C348" t="s">
        <v>1070</v>
      </c>
      <c r="D348" t="s">
        <v>59</v>
      </c>
      <c r="E348" t="s">
        <v>24</v>
      </c>
      <c r="F348" t="s">
        <v>52</v>
      </c>
      <c r="G348" t="s">
        <v>26</v>
      </c>
      <c r="H348">
        <v>9</v>
      </c>
      <c r="I348">
        <v>1500</v>
      </c>
      <c r="J348">
        <v>13500</v>
      </c>
      <c r="K348">
        <v>11070</v>
      </c>
      <c r="L348">
        <v>2430</v>
      </c>
    </row>
    <row r="349" spans="1:12" x14ac:dyDescent="0.3">
      <c r="A349" t="s">
        <v>1071</v>
      </c>
      <c r="B349" t="s">
        <v>1072</v>
      </c>
      <c r="C349" t="s">
        <v>1073</v>
      </c>
      <c r="D349" t="s">
        <v>34</v>
      </c>
      <c r="E349" t="s">
        <v>24</v>
      </c>
      <c r="F349" t="s">
        <v>38</v>
      </c>
      <c r="G349" t="s">
        <v>19</v>
      </c>
      <c r="H349">
        <v>2</v>
      </c>
      <c r="I349">
        <v>3000</v>
      </c>
      <c r="J349">
        <v>6000</v>
      </c>
      <c r="K349">
        <v>4920</v>
      </c>
      <c r="L349">
        <v>1080</v>
      </c>
    </row>
    <row r="350" spans="1:12" x14ac:dyDescent="0.3">
      <c r="A350" t="s">
        <v>1074</v>
      </c>
      <c r="B350" t="s">
        <v>1075</v>
      </c>
      <c r="C350" t="s">
        <v>1076</v>
      </c>
      <c r="D350" t="s">
        <v>30</v>
      </c>
      <c r="E350" t="s">
        <v>13</v>
      </c>
      <c r="F350" t="s">
        <v>38</v>
      </c>
      <c r="G350" t="s">
        <v>15</v>
      </c>
      <c r="H350">
        <v>4</v>
      </c>
      <c r="I350">
        <v>12000</v>
      </c>
      <c r="J350">
        <v>48000</v>
      </c>
      <c r="K350">
        <v>39360</v>
      </c>
      <c r="L350">
        <v>8640</v>
      </c>
    </row>
    <row r="351" spans="1:12" x14ac:dyDescent="0.3">
      <c r="A351" t="s">
        <v>1077</v>
      </c>
      <c r="B351" t="s">
        <v>1078</v>
      </c>
      <c r="C351" t="s">
        <v>1079</v>
      </c>
      <c r="D351" t="s">
        <v>30</v>
      </c>
      <c r="E351" t="s">
        <v>13</v>
      </c>
      <c r="F351" t="s">
        <v>25</v>
      </c>
      <c r="G351" t="s">
        <v>26</v>
      </c>
      <c r="H351">
        <v>3</v>
      </c>
      <c r="I351">
        <v>12000</v>
      </c>
      <c r="J351">
        <v>36000</v>
      </c>
      <c r="K351">
        <v>29520</v>
      </c>
      <c r="L351">
        <v>6480</v>
      </c>
    </row>
    <row r="352" spans="1:12" x14ac:dyDescent="0.3">
      <c r="A352" t="s">
        <v>1080</v>
      </c>
      <c r="B352" t="s">
        <v>1081</v>
      </c>
      <c r="C352" t="s">
        <v>1082</v>
      </c>
      <c r="D352" t="s">
        <v>12</v>
      </c>
      <c r="E352" t="s">
        <v>13</v>
      </c>
      <c r="F352" t="s">
        <v>14</v>
      </c>
      <c r="G352" t="s">
        <v>84</v>
      </c>
      <c r="H352">
        <v>6</v>
      </c>
      <c r="I352">
        <v>50000</v>
      </c>
      <c r="J352">
        <v>300000</v>
      </c>
      <c r="K352">
        <v>245999</v>
      </c>
      <c r="L352">
        <v>54001</v>
      </c>
    </row>
    <row r="353" spans="1:12" x14ac:dyDescent="0.3">
      <c r="A353" t="s">
        <v>1083</v>
      </c>
      <c r="B353" t="s">
        <v>1084</v>
      </c>
      <c r="C353" t="s">
        <v>1085</v>
      </c>
      <c r="D353" t="s">
        <v>42</v>
      </c>
      <c r="E353" t="s">
        <v>13</v>
      </c>
      <c r="F353" t="s">
        <v>14</v>
      </c>
      <c r="G353" t="s">
        <v>43</v>
      </c>
      <c r="H353">
        <v>10</v>
      </c>
      <c r="I353">
        <v>15000</v>
      </c>
      <c r="J353">
        <v>150000</v>
      </c>
      <c r="K353">
        <v>122999</v>
      </c>
      <c r="L353">
        <v>27001</v>
      </c>
    </row>
    <row r="354" spans="1:12" x14ac:dyDescent="0.3">
      <c r="A354" t="s">
        <v>1086</v>
      </c>
      <c r="B354" t="s">
        <v>1087</v>
      </c>
      <c r="C354" t="s">
        <v>1088</v>
      </c>
      <c r="D354" t="s">
        <v>30</v>
      </c>
      <c r="E354" t="s">
        <v>13</v>
      </c>
      <c r="F354" t="s">
        <v>25</v>
      </c>
      <c r="G354" t="s">
        <v>43</v>
      </c>
      <c r="H354">
        <v>4</v>
      </c>
      <c r="I354">
        <v>12000</v>
      </c>
      <c r="J354">
        <v>48000</v>
      </c>
      <c r="K354">
        <v>39360</v>
      </c>
      <c r="L354">
        <v>8640</v>
      </c>
    </row>
    <row r="355" spans="1:12" x14ac:dyDescent="0.3">
      <c r="A355" t="s">
        <v>1089</v>
      </c>
      <c r="B355" t="s">
        <v>1090</v>
      </c>
      <c r="C355" t="s">
        <v>1091</v>
      </c>
      <c r="D355" t="s">
        <v>42</v>
      </c>
      <c r="E355" t="s">
        <v>13</v>
      </c>
      <c r="F355" t="s">
        <v>38</v>
      </c>
      <c r="G355" t="s">
        <v>84</v>
      </c>
      <c r="H355">
        <v>7</v>
      </c>
      <c r="I355">
        <v>15000</v>
      </c>
      <c r="J355">
        <v>105000</v>
      </c>
      <c r="K355">
        <v>86100</v>
      </c>
      <c r="L355">
        <v>18900</v>
      </c>
    </row>
    <row r="356" spans="1:12" x14ac:dyDescent="0.3">
      <c r="A356" t="s">
        <v>1092</v>
      </c>
      <c r="B356" t="s">
        <v>1093</v>
      </c>
      <c r="C356" t="s">
        <v>1094</v>
      </c>
      <c r="D356" t="s">
        <v>30</v>
      </c>
      <c r="E356" t="s">
        <v>13</v>
      </c>
      <c r="F356" t="s">
        <v>38</v>
      </c>
      <c r="G356" t="s">
        <v>15</v>
      </c>
      <c r="H356">
        <v>10</v>
      </c>
      <c r="I356">
        <v>12000</v>
      </c>
      <c r="J356">
        <v>120000</v>
      </c>
      <c r="K356">
        <v>98400</v>
      </c>
      <c r="L356">
        <v>21600</v>
      </c>
    </row>
    <row r="357" spans="1:12" x14ac:dyDescent="0.3">
      <c r="A357" t="s">
        <v>1095</v>
      </c>
      <c r="B357" t="s">
        <v>1096</v>
      </c>
      <c r="C357" t="s">
        <v>1097</v>
      </c>
      <c r="D357" t="s">
        <v>23</v>
      </c>
      <c r="E357" t="s">
        <v>24</v>
      </c>
      <c r="F357" t="s">
        <v>38</v>
      </c>
      <c r="G357" t="s">
        <v>26</v>
      </c>
      <c r="H357">
        <v>7</v>
      </c>
      <c r="I357">
        <v>800</v>
      </c>
      <c r="J357">
        <v>5600</v>
      </c>
      <c r="K357">
        <v>4592</v>
      </c>
      <c r="L357">
        <v>1008</v>
      </c>
    </row>
    <row r="358" spans="1:12" x14ac:dyDescent="0.3">
      <c r="A358" t="s">
        <v>1098</v>
      </c>
      <c r="B358" t="s">
        <v>1099</v>
      </c>
      <c r="C358" t="s">
        <v>1100</v>
      </c>
      <c r="D358" t="s">
        <v>12</v>
      </c>
      <c r="E358" t="s">
        <v>13</v>
      </c>
      <c r="F358" t="s">
        <v>52</v>
      </c>
      <c r="G358" t="s">
        <v>19</v>
      </c>
      <c r="H358">
        <v>5</v>
      </c>
      <c r="I358">
        <v>50000</v>
      </c>
      <c r="J358">
        <v>250000</v>
      </c>
      <c r="K358">
        <v>205000</v>
      </c>
      <c r="L358">
        <v>45000</v>
      </c>
    </row>
    <row r="359" spans="1:12" x14ac:dyDescent="0.3">
      <c r="A359" t="s">
        <v>1101</v>
      </c>
      <c r="B359" t="s">
        <v>1102</v>
      </c>
      <c r="C359" t="s">
        <v>1103</v>
      </c>
      <c r="D359" t="s">
        <v>12</v>
      </c>
      <c r="E359" t="s">
        <v>13</v>
      </c>
      <c r="F359" t="s">
        <v>14</v>
      </c>
      <c r="G359" t="s">
        <v>84</v>
      </c>
      <c r="H359">
        <v>5</v>
      </c>
      <c r="I359">
        <v>50000</v>
      </c>
      <c r="J359">
        <v>250000</v>
      </c>
      <c r="K359">
        <v>205000</v>
      </c>
      <c r="L359">
        <v>45000</v>
      </c>
    </row>
    <row r="360" spans="1:12" x14ac:dyDescent="0.3">
      <c r="A360" t="s">
        <v>1104</v>
      </c>
      <c r="B360" t="s">
        <v>1105</v>
      </c>
      <c r="C360" t="s">
        <v>1106</v>
      </c>
      <c r="D360" t="s">
        <v>30</v>
      </c>
      <c r="E360" t="s">
        <v>13</v>
      </c>
      <c r="F360" t="s">
        <v>52</v>
      </c>
      <c r="G360" t="s">
        <v>19</v>
      </c>
      <c r="H360">
        <v>10</v>
      </c>
      <c r="I360">
        <v>12000</v>
      </c>
      <c r="J360">
        <v>120000</v>
      </c>
      <c r="K360">
        <v>98400</v>
      </c>
      <c r="L360">
        <v>21600</v>
      </c>
    </row>
    <row r="361" spans="1:12" x14ac:dyDescent="0.3">
      <c r="A361" t="s">
        <v>1107</v>
      </c>
      <c r="B361" t="s">
        <v>1108</v>
      </c>
      <c r="C361" t="s">
        <v>1109</v>
      </c>
      <c r="D361" t="s">
        <v>50</v>
      </c>
      <c r="E361" t="s">
        <v>51</v>
      </c>
      <c r="F361" t="s">
        <v>52</v>
      </c>
      <c r="G361" t="s">
        <v>19</v>
      </c>
      <c r="H361">
        <v>1</v>
      </c>
      <c r="I361">
        <v>2200</v>
      </c>
      <c r="J361">
        <v>2200</v>
      </c>
      <c r="K361">
        <v>1804</v>
      </c>
      <c r="L361">
        <v>396</v>
      </c>
    </row>
    <row r="362" spans="1:12" x14ac:dyDescent="0.3">
      <c r="A362" t="s">
        <v>1110</v>
      </c>
      <c r="B362" t="s">
        <v>1111</v>
      </c>
      <c r="C362" t="s">
        <v>1112</v>
      </c>
      <c r="D362" t="s">
        <v>12</v>
      </c>
      <c r="E362" t="s">
        <v>13</v>
      </c>
      <c r="F362" t="s">
        <v>25</v>
      </c>
      <c r="G362" t="s">
        <v>84</v>
      </c>
      <c r="H362">
        <v>1</v>
      </c>
      <c r="I362">
        <v>50000</v>
      </c>
      <c r="J362">
        <v>50000</v>
      </c>
      <c r="K362">
        <v>41000</v>
      </c>
      <c r="L362">
        <v>9000</v>
      </c>
    </row>
    <row r="363" spans="1:12" x14ac:dyDescent="0.3">
      <c r="A363" t="s">
        <v>1113</v>
      </c>
      <c r="B363" t="s">
        <v>1114</v>
      </c>
      <c r="C363" t="s">
        <v>1115</v>
      </c>
      <c r="D363" t="s">
        <v>59</v>
      </c>
      <c r="E363" t="s">
        <v>24</v>
      </c>
      <c r="F363" t="s">
        <v>52</v>
      </c>
      <c r="G363" t="s">
        <v>43</v>
      </c>
      <c r="H363">
        <v>7</v>
      </c>
      <c r="I363">
        <v>1500</v>
      </c>
      <c r="J363">
        <v>10500</v>
      </c>
      <c r="K363">
        <v>8610</v>
      </c>
      <c r="L363">
        <v>1890</v>
      </c>
    </row>
    <row r="364" spans="1:12" x14ac:dyDescent="0.3">
      <c r="A364" t="s">
        <v>1116</v>
      </c>
      <c r="B364" t="s">
        <v>1117</v>
      </c>
      <c r="C364" t="s">
        <v>1118</v>
      </c>
      <c r="D364" t="s">
        <v>42</v>
      </c>
      <c r="E364" t="s">
        <v>13</v>
      </c>
      <c r="F364" t="s">
        <v>25</v>
      </c>
      <c r="G364" t="s">
        <v>84</v>
      </c>
      <c r="H364">
        <v>6</v>
      </c>
      <c r="I364">
        <v>15000</v>
      </c>
      <c r="J364">
        <v>90000</v>
      </c>
      <c r="K364">
        <v>73800</v>
      </c>
      <c r="L364">
        <v>16200</v>
      </c>
    </row>
    <row r="365" spans="1:12" x14ac:dyDescent="0.3">
      <c r="A365" t="s">
        <v>1119</v>
      </c>
      <c r="B365" t="s">
        <v>1120</v>
      </c>
      <c r="C365" t="s">
        <v>1121</v>
      </c>
      <c r="D365" t="s">
        <v>50</v>
      </c>
      <c r="E365" t="s">
        <v>51</v>
      </c>
      <c r="F365" t="s">
        <v>14</v>
      </c>
      <c r="G365" t="s">
        <v>26</v>
      </c>
      <c r="H365">
        <v>2</v>
      </c>
      <c r="I365">
        <v>2200</v>
      </c>
      <c r="J365">
        <v>4400</v>
      </c>
      <c r="K365">
        <v>3608</v>
      </c>
      <c r="L365">
        <v>792</v>
      </c>
    </row>
    <row r="366" spans="1:12" x14ac:dyDescent="0.3">
      <c r="A366" t="s">
        <v>1122</v>
      </c>
      <c r="B366" t="s">
        <v>1123</v>
      </c>
      <c r="C366" t="s">
        <v>1124</v>
      </c>
      <c r="D366" t="s">
        <v>12</v>
      </c>
      <c r="E366" t="s">
        <v>13</v>
      </c>
      <c r="F366" t="s">
        <v>14</v>
      </c>
      <c r="G366" t="s">
        <v>84</v>
      </c>
      <c r="H366">
        <v>4</v>
      </c>
      <c r="I366">
        <v>50000</v>
      </c>
      <c r="J366">
        <v>200000</v>
      </c>
      <c r="K366">
        <v>164000</v>
      </c>
      <c r="L366">
        <v>36000</v>
      </c>
    </row>
    <row r="367" spans="1:12" x14ac:dyDescent="0.3">
      <c r="A367" t="s">
        <v>1125</v>
      </c>
      <c r="B367" t="s">
        <v>11</v>
      </c>
      <c r="C367" t="s">
        <v>1126</v>
      </c>
      <c r="D367" t="s">
        <v>12</v>
      </c>
      <c r="E367" t="s">
        <v>13</v>
      </c>
      <c r="F367" t="s">
        <v>14</v>
      </c>
      <c r="G367" t="s">
        <v>26</v>
      </c>
      <c r="H367">
        <v>4</v>
      </c>
      <c r="I367">
        <v>50000</v>
      </c>
      <c r="J367">
        <v>200000</v>
      </c>
      <c r="K367">
        <v>164000</v>
      </c>
      <c r="L367">
        <v>36000</v>
      </c>
    </row>
    <row r="368" spans="1:12" x14ac:dyDescent="0.3">
      <c r="A368" t="s">
        <v>1127</v>
      </c>
      <c r="B368" t="s">
        <v>17</v>
      </c>
      <c r="C368" t="s">
        <v>1128</v>
      </c>
      <c r="D368" t="s">
        <v>106</v>
      </c>
      <c r="E368" t="s">
        <v>107</v>
      </c>
      <c r="F368" t="s">
        <v>14</v>
      </c>
      <c r="G368" t="s">
        <v>15</v>
      </c>
      <c r="H368">
        <v>5</v>
      </c>
      <c r="I368">
        <v>6500</v>
      </c>
      <c r="J368">
        <v>32500</v>
      </c>
      <c r="K368">
        <v>26650</v>
      </c>
      <c r="L368">
        <v>5850</v>
      </c>
    </row>
    <row r="369" spans="1:12" x14ac:dyDescent="0.3">
      <c r="A369" t="s">
        <v>1129</v>
      </c>
      <c r="B369" t="s">
        <v>21</v>
      </c>
      <c r="C369" t="s">
        <v>1130</v>
      </c>
      <c r="D369" t="s">
        <v>59</v>
      </c>
      <c r="E369" t="s">
        <v>24</v>
      </c>
      <c r="F369" t="s">
        <v>25</v>
      </c>
      <c r="G369" t="s">
        <v>26</v>
      </c>
      <c r="H369">
        <v>7</v>
      </c>
      <c r="I369">
        <v>1500</v>
      </c>
      <c r="J369">
        <v>10500</v>
      </c>
      <c r="K369">
        <v>8610</v>
      </c>
      <c r="L369">
        <v>1890</v>
      </c>
    </row>
    <row r="370" spans="1:12" x14ac:dyDescent="0.3">
      <c r="A370" t="s">
        <v>1131</v>
      </c>
      <c r="B370" t="s">
        <v>28</v>
      </c>
      <c r="C370" t="s">
        <v>1132</v>
      </c>
      <c r="D370" t="s">
        <v>42</v>
      </c>
      <c r="E370" t="s">
        <v>13</v>
      </c>
      <c r="F370" t="s">
        <v>25</v>
      </c>
      <c r="G370" t="s">
        <v>15</v>
      </c>
      <c r="H370">
        <v>3</v>
      </c>
      <c r="I370">
        <v>15000</v>
      </c>
      <c r="J370">
        <v>45000</v>
      </c>
      <c r="K370">
        <v>36900</v>
      </c>
      <c r="L370">
        <v>8100</v>
      </c>
    </row>
    <row r="371" spans="1:12" x14ac:dyDescent="0.3">
      <c r="A371" t="s">
        <v>1133</v>
      </c>
      <c r="B371" t="s">
        <v>32</v>
      </c>
      <c r="C371" t="s">
        <v>1134</v>
      </c>
      <c r="D371" t="s">
        <v>59</v>
      </c>
      <c r="E371" t="s">
        <v>24</v>
      </c>
      <c r="F371" t="s">
        <v>52</v>
      </c>
      <c r="G371" t="s">
        <v>26</v>
      </c>
      <c r="H371">
        <v>2</v>
      </c>
      <c r="I371">
        <v>1500</v>
      </c>
      <c r="J371">
        <v>3000</v>
      </c>
      <c r="K371">
        <v>2460</v>
      </c>
      <c r="L371">
        <v>540</v>
      </c>
    </row>
    <row r="372" spans="1:12" x14ac:dyDescent="0.3">
      <c r="A372" t="s">
        <v>1135</v>
      </c>
      <c r="B372" t="s">
        <v>36</v>
      </c>
      <c r="C372" t="s">
        <v>1136</v>
      </c>
      <c r="D372" t="s">
        <v>42</v>
      </c>
      <c r="E372" t="s">
        <v>13</v>
      </c>
      <c r="F372" t="s">
        <v>38</v>
      </c>
      <c r="G372" t="s">
        <v>43</v>
      </c>
      <c r="H372">
        <v>3</v>
      </c>
      <c r="I372">
        <v>15000</v>
      </c>
      <c r="J372">
        <v>45000</v>
      </c>
      <c r="K372">
        <v>36900</v>
      </c>
      <c r="L372">
        <v>8100</v>
      </c>
    </row>
    <row r="373" spans="1:12" x14ac:dyDescent="0.3">
      <c r="A373" t="s">
        <v>1137</v>
      </c>
      <c r="B373" t="s">
        <v>40</v>
      </c>
      <c r="C373" t="s">
        <v>1138</v>
      </c>
      <c r="D373" t="s">
        <v>50</v>
      </c>
      <c r="E373" t="s">
        <v>51</v>
      </c>
      <c r="F373" t="s">
        <v>52</v>
      </c>
      <c r="G373" t="s">
        <v>15</v>
      </c>
      <c r="H373">
        <v>3</v>
      </c>
      <c r="I373">
        <v>2200</v>
      </c>
      <c r="J373">
        <v>6600</v>
      </c>
      <c r="K373">
        <v>5412</v>
      </c>
      <c r="L373">
        <v>1188</v>
      </c>
    </row>
    <row r="374" spans="1:12" x14ac:dyDescent="0.3">
      <c r="A374" t="s">
        <v>1139</v>
      </c>
      <c r="B374" t="s">
        <v>45</v>
      </c>
      <c r="C374" t="s">
        <v>1140</v>
      </c>
      <c r="D374" t="s">
        <v>106</v>
      </c>
      <c r="E374" t="s">
        <v>107</v>
      </c>
      <c r="F374" t="s">
        <v>38</v>
      </c>
      <c r="G374" t="s">
        <v>19</v>
      </c>
      <c r="H374">
        <v>4</v>
      </c>
      <c r="I374">
        <v>6500</v>
      </c>
      <c r="J374">
        <v>26000</v>
      </c>
      <c r="K374">
        <v>21320</v>
      </c>
      <c r="L374">
        <v>4680</v>
      </c>
    </row>
    <row r="375" spans="1:12" x14ac:dyDescent="0.3">
      <c r="A375" t="s">
        <v>1141</v>
      </c>
      <c r="B375" t="s">
        <v>48</v>
      </c>
      <c r="C375" t="s">
        <v>1142</v>
      </c>
      <c r="D375" t="s">
        <v>50</v>
      </c>
      <c r="E375" t="s">
        <v>51</v>
      </c>
      <c r="F375" t="s">
        <v>52</v>
      </c>
      <c r="G375" t="s">
        <v>84</v>
      </c>
      <c r="H375">
        <v>10</v>
      </c>
      <c r="I375">
        <v>2200</v>
      </c>
      <c r="J375">
        <v>22000</v>
      </c>
      <c r="K375">
        <v>18040</v>
      </c>
      <c r="L375">
        <v>3960</v>
      </c>
    </row>
    <row r="376" spans="1:12" x14ac:dyDescent="0.3">
      <c r="A376" t="s">
        <v>1143</v>
      </c>
      <c r="B376" t="s">
        <v>54</v>
      </c>
      <c r="C376" t="s">
        <v>1144</v>
      </c>
      <c r="D376" t="s">
        <v>23</v>
      </c>
      <c r="E376" t="s">
        <v>24</v>
      </c>
      <c r="F376" t="s">
        <v>38</v>
      </c>
      <c r="G376" t="s">
        <v>26</v>
      </c>
      <c r="H376">
        <v>8</v>
      </c>
      <c r="I376">
        <v>800</v>
      </c>
      <c r="J376">
        <v>6400</v>
      </c>
      <c r="K376">
        <v>5248</v>
      </c>
      <c r="L376">
        <v>1152</v>
      </c>
    </row>
    <row r="377" spans="1:12" x14ac:dyDescent="0.3">
      <c r="A377" t="s">
        <v>1145</v>
      </c>
      <c r="B377" t="s">
        <v>57</v>
      </c>
      <c r="C377" t="s">
        <v>1146</v>
      </c>
      <c r="D377" t="s">
        <v>30</v>
      </c>
      <c r="E377" t="s">
        <v>13</v>
      </c>
      <c r="F377" t="s">
        <v>25</v>
      </c>
      <c r="G377" t="s">
        <v>43</v>
      </c>
      <c r="H377">
        <v>8</v>
      </c>
      <c r="I377">
        <v>12000</v>
      </c>
      <c r="J377">
        <v>96000</v>
      </c>
      <c r="K377">
        <v>78720</v>
      </c>
      <c r="L377">
        <v>17280</v>
      </c>
    </row>
    <row r="378" spans="1:12" x14ac:dyDescent="0.3">
      <c r="A378" t="s">
        <v>1147</v>
      </c>
      <c r="B378" t="s">
        <v>61</v>
      </c>
      <c r="C378" t="s">
        <v>1148</v>
      </c>
      <c r="D378" t="s">
        <v>50</v>
      </c>
      <c r="E378" t="s">
        <v>51</v>
      </c>
      <c r="F378" t="s">
        <v>38</v>
      </c>
      <c r="G378" t="s">
        <v>43</v>
      </c>
      <c r="H378">
        <v>5</v>
      </c>
      <c r="I378">
        <v>2200</v>
      </c>
      <c r="J378">
        <v>11000</v>
      </c>
      <c r="K378">
        <v>9020</v>
      </c>
      <c r="L378">
        <v>1980</v>
      </c>
    </row>
    <row r="379" spans="1:12" x14ac:dyDescent="0.3">
      <c r="A379" t="s">
        <v>1149</v>
      </c>
      <c r="B379" t="s">
        <v>64</v>
      </c>
      <c r="C379" t="s">
        <v>1150</v>
      </c>
      <c r="D379" t="s">
        <v>50</v>
      </c>
      <c r="E379" t="s">
        <v>51</v>
      </c>
      <c r="F379" t="s">
        <v>25</v>
      </c>
      <c r="G379" t="s">
        <v>84</v>
      </c>
      <c r="H379">
        <v>2</v>
      </c>
      <c r="I379">
        <v>2200</v>
      </c>
      <c r="J379">
        <v>4400</v>
      </c>
      <c r="K379">
        <v>3608</v>
      </c>
      <c r="L379">
        <v>792</v>
      </c>
    </row>
    <row r="380" spans="1:12" x14ac:dyDescent="0.3">
      <c r="A380" t="s">
        <v>1151</v>
      </c>
      <c r="B380" t="s">
        <v>67</v>
      </c>
      <c r="C380" t="s">
        <v>1152</v>
      </c>
      <c r="D380" t="s">
        <v>59</v>
      </c>
      <c r="E380" t="s">
        <v>24</v>
      </c>
      <c r="F380" t="s">
        <v>52</v>
      </c>
      <c r="G380" t="s">
        <v>26</v>
      </c>
      <c r="H380">
        <v>2</v>
      </c>
      <c r="I380">
        <v>1500</v>
      </c>
      <c r="J380">
        <v>3000</v>
      </c>
      <c r="K380">
        <v>2460</v>
      </c>
      <c r="L380">
        <v>540</v>
      </c>
    </row>
    <row r="381" spans="1:12" x14ac:dyDescent="0.3">
      <c r="A381" t="s">
        <v>1153</v>
      </c>
      <c r="B381" t="s">
        <v>70</v>
      </c>
      <c r="C381" t="s">
        <v>1154</v>
      </c>
      <c r="D381" t="s">
        <v>23</v>
      </c>
      <c r="E381" t="s">
        <v>24</v>
      </c>
      <c r="F381" t="s">
        <v>14</v>
      </c>
      <c r="G381" t="s">
        <v>84</v>
      </c>
      <c r="H381">
        <v>8</v>
      </c>
      <c r="I381">
        <v>800</v>
      </c>
      <c r="J381">
        <v>6400</v>
      </c>
      <c r="K381">
        <v>5248</v>
      </c>
      <c r="L381">
        <v>1152</v>
      </c>
    </row>
    <row r="382" spans="1:12" x14ac:dyDescent="0.3">
      <c r="A382" t="s">
        <v>1155</v>
      </c>
      <c r="B382" t="s">
        <v>73</v>
      </c>
      <c r="C382" t="s">
        <v>1156</v>
      </c>
      <c r="D382" t="s">
        <v>23</v>
      </c>
      <c r="E382" t="s">
        <v>24</v>
      </c>
      <c r="F382" t="s">
        <v>38</v>
      </c>
      <c r="G382" t="s">
        <v>43</v>
      </c>
      <c r="H382">
        <v>2</v>
      </c>
      <c r="I382">
        <v>800</v>
      </c>
      <c r="J382">
        <v>1600</v>
      </c>
      <c r="K382">
        <v>1312</v>
      </c>
      <c r="L382">
        <v>288</v>
      </c>
    </row>
    <row r="383" spans="1:12" x14ac:dyDescent="0.3">
      <c r="A383" t="s">
        <v>1157</v>
      </c>
      <c r="B383" t="s">
        <v>76</v>
      </c>
      <c r="C383" t="s">
        <v>1158</v>
      </c>
      <c r="D383" t="s">
        <v>23</v>
      </c>
      <c r="E383" t="s">
        <v>24</v>
      </c>
      <c r="F383" t="s">
        <v>52</v>
      </c>
      <c r="G383" t="s">
        <v>15</v>
      </c>
      <c r="H383">
        <v>9</v>
      </c>
      <c r="I383">
        <v>800</v>
      </c>
      <c r="J383">
        <v>7200</v>
      </c>
      <c r="K383">
        <v>5904</v>
      </c>
      <c r="L383">
        <v>1296</v>
      </c>
    </row>
    <row r="384" spans="1:12" x14ac:dyDescent="0.3">
      <c r="A384" t="s">
        <v>1159</v>
      </c>
      <c r="B384" t="s">
        <v>79</v>
      </c>
      <c r="C384" t="s">
        <v>1160</v>
      </c>
      <c r="D384" t="s">
        <v>50</v>
      </c>
      <c r="E384" t="s">
        <v>51</v>
      </c>
      <c r="F384" t="s">
        <v>52</v>
      </c>
      <c r="G384" t="s">
        <v>43</v>
      </c>
      <c r="H384">
        <v>4</v>
      </c>
      <c r="I384">
        <v>2200</v>
      </c>
      <c r="J384">
        <v>8800</v>
      </c>
      <c r="K384">
        <v>7216</v>
      </c>
      <c r="L384">
        <v>1584</v>
      </c>
    </row>
    <row r="385" spans="1:12" x14ac:dyDescent="0.3">
      <c r="A385" t="s">
        <v>1161</v>
      </c>
      <c r="B385" t="s">
        <v>82</v>
      </c>
      <c r="C385" t="s">
        <v>1162</v>
      </c>
      <c r="D385" t="s">
        <v>12</v>
      </c>
      <c r="E385" t="s">
        <v>13</v>
      </c>
      <c r="F385" t="s">
        <v>52</v>
      </c>
      <c r="G385" t="s">
        <v>15</v>
      </c>
      <c r="H385">
        <v>3</v>
      </c>
      <c r="I385">
        <v>50000</v>
      </c>
      <c r="J385">
        <v>150000</v>
      </c>
      <c r="K385">
        <v>122999</v>
      </c>
      <c r="L385">
        <v>27001</v>
      </c>
    </row>
    <row r="386" spans="1:12" x14ac:dyDescent="0.3">
      <c r="A386" t="s">
        <v>1163</v>
      </c>
      <c r="B386" t="s">
        <v>86</v>
      </c>
      <c r="C386" t="s">
        <v>1164</v>
      </c>
      <c r="D386" t="s">
        <v>59</v>
      </c>
      <c r="E386" t="s">
        <v>24</v>
      </c>
      <c r="F386" t="s">
        <v>25</v>
      </c>
      <c r="G386" t="s">
        <v>15</v>
      </c>
      <c r="H386">
        <v>10</v>
      </c>
      <c r="I386">
        <v>1500</v>
      </c>
      <c r="J386">
        <v>15000</v>
      </c>
      <c r="K386">
        <v>12300</v>
      </c>
      <c r="L386">
        <v>2700</v>
      </c>
    </row>
    <row r="387" spans="1:12" x14ac:dyDescent="0.3">
      <c r="A387" t="s">
        <v>1165</v>
      </c>
      <c r="B387" t="s">
        <v>89</v>
      </c>
      <c r="C387" t="s">
        <v>1166</v>
      </c>
      <c r="D387" t="s">
        <v>23</v>
      </c>
      <c r="E387" t="s">
        <v>24</v>
      </c>
      <c r="F387" t="s">
        <v>25</v>
      </c>
      <c r="G387" t="s">
        <v>43</v>
      </c>
      <c r="H387">
        <v>10</v>
      </c>
      <c r="I387">
        <v>800</v>
      </c>
      <c r="J387">
        <v>8000</v>
      </c>
      <c r="K387">
        <v>6560</v>
      </c>
      <c r="L387">
        <v>1440</v>
      </c>
    </row>
    <row r="388" spans="1:12" x14ac:dyDescent="0.3">
      <c r="A388" t="s">
        <v>1167</v>
      </c>
      <c r="B388" t="s">
        <v>92</v>
      </c>
      <c r="C388" t="s">
        <v>1168</v>
      </c>
      <c r="D388" t="s">
        <v>50</v>
      </c>
      <c r="E388" t="s">
        <v>51</v>
      </c>
      <c r="F388" t="s">
        <v>52</v>
      </c>
      <c r="G388" t="s">
        <v>26</v>
      </c>
      <c r="H388">
        <v>8</v>
      </c>
      <c r="I388">
        <v>2200</v>
      </c>
      <c r="J388">
        <v>17600</v>
      </c>
      <c r="K388">
        <v>14432</v>
      </c>
      <c r="L388">
        <v>3168</v>
      </c>
    </row>
    <row r="389" spans="1:12" x14ac:dyDescent="0.3">
      <c r="A389" t="s">
        <v>1169</v>
      </c>
      <c r="B389" t="s">
        <v>95</v>
      </c>
      <c r="C389" t="s">
        <v>1170</v>
      </c>
      <c r="D389" t="s">
        <v>106</v>
      </c>
      <c r="E389" t="s">
        <v>107</v>
      </c>
      <c r="F389" t="s">
        <v>14</v>
      </c>
      <c r="G389" t="s">
        <v>26</v>
      </c>
      <c r="H389">
        <v>3</v>
      </c>
      <c r="I389">
        <v>6500</v>
      </c>
      <c r="J389">
        <v>19500</v>
      </c>
      <c r="K389">
        <v>15989</v>
      </c>
      <c r="L389">
        <v>3511</v>
      </c>
    </row>
    <row r="390" spans="1:12" x14ac:dyDescent="0.3">
      <c r="A390" t="s">
        <v>1171</v>
      </c>
      <c r="B390" t="s">
        <v>98</v>
      </c>
      <c r="C390" t="s">
        <v>1172</v>
      </c>
      <c r="D390" t="s">
        <v>12</v>
      </c>
      <c r="E390" t="s">
        <v>13</v>
      </c>
      <c r="F390" t="s">
        <v>52</v>
      </c>
      <c r="G390" t="s">
        <v>15</v>
      </c>
      <c r="H390">
        <v>6</v>
      </c>
      <c r="I390">
        <v>50000</v>
      </c>
      <c r="J390">
        <v>300000</v>
      </c>
      <c r="K390">
        <v>245999</v>
      </c>
      <c r="L390">
        <v>54001</v>
      </c>
    </row>
    <row r="391" spans="1:12" x14ac:dyDescent="0.3">
      <c r="A391" t="s">
        <v>1173</v>
      </c>
      <c r="B391" t="s">
        <v>101</v>
      </c>
      <c r="C391" t="s">
        <v>1174</v>
      </c>
      <c r="D391" t="s">
        <v>50</v>
      </c>
      <c r="E391" t="s">
        <v>51</v>
      </c>
      <c r="F391" t="s">
        <v>25</v>
      </c>
      <c r="G391" t="s">
        <v>19</v>
      </c>
      <c r="H391">
        <v>5</v>
      </c>
      <c r="I391">
        <v>2200</v>
      </c>
      <c r="J391">
        <v>11000</v>
      </c>
      <c r="K391">
        <v>9020</v>
      </c>
      <c r="L391">
        <v>1980</v>
      </c>
    </row>
    <row r="392" spans="1:12" x14ac:dyDescent="0.3">
      <c r="A392" t="s">
        <v>1175</v>
      </c>
      <c r="B392" t="s">
        <v>104</v>
      </c>
      <c r="C392" t="s">
        <v>1176</v>
      </c>
      <c r="D392" t="s">
        <v>106</v>
      </c>
      <c r="E392" t="s">
        <v>107</v>
      </c>
      <c r="F392" t="s">
        <v>38</v>
      </c>
      <c r="G392" t="s">
        <v>19</v>
      </c>
      <c r="H392">
        <v>7</v>
      </c>
      <c r="I392">
        <v>6500</v>
      </c>
      <c r="J392">
        <v>45500</v>
      </c>
      <c r="K392">
        <v>37310</v>
      </c>
      <c r="L392">
        <v>8190</v>
      </c>
    </row>
    <row r="393" spans="1:12" x14ac:dyDescent="0.3">
      <c r="A393" t="s">
        <v>1177</v>
      </c>
      <c r="B393" t="s">
        <v>109</v>
      </c>
      <c r="C393" t="s">
        <v>1178</v>
      </c>
      <c r="D393" t="s">
        <v>50</v>
      </c>
      <c r="E393" t="s">
        <v>51</v>
      </c>
      <c r="F393" t="s">
        <v>38</v>
      </c>
      <c r="G393" t="s">
        <v>15</v>
      </c>
      <c r="H393">
        <v>9</v>
      </c>
      <c r="I393">
        <v>2200</v>
      </c>
      <c r="J393">
        <v>19800</v>
      </c>
      <c r="K393">
        <v>16235</v>
      </c>
      <c r="L393">
        <v>3565</v>
      </c>
    </row>
    <row r="394" spans="1:12" x14ac:dyDescent="0.3">
      <c r="A394" t="s">
        <v>1179</v>
      </c>
      <c r="B394" t="s">
        <v>112</v>
      </c>
      <c r="C394" t="s">
        <v>1180</v>
      </c>
      <c r="D394" t="s">
        <v>106</v>
      </c>
      <c r="E394" t="s">
        <v>107</v>
      </c>
      <c r="F394" t="s">
        <v>25</v>
      </c>
      <c r="G394" t="s">
        <v>84</v>
      </c>
      <c r="H394">
        <v>9</v>
      </c>
      <c r="I394">
        <v>6500</v>
      </c>
      <c r="J394">
        <v>58500</v>
      </c>
      <c r="K394">
        <v>47970</v>
      </c>
      <c r="L394">
        <v>10530</v>
      </c>
    </row>
    <row r="395" spans="1:12" x14ac:dyDescent="0.3">
      <c r="A395" t="s">
        <v>1181</v>
      </c>
      <c r="B395" t="s">
        <v>115</v>
      </c>
      <c r="C395" t="s">
        <v>1182</v>
      </c>
      <c r="D395" t="s">
        <v>59</v>
      </c>
      <c r="E395" t="s">
        <v>24</v>
      </c>
      <c r="F395" t="s">
        <v>38</v>
      </c>
      <c r="G395" t="s">
        <v>15</v>
      </c>
      <c r="H395">
        <v>10</v>
      </c>
      <c r="I395">
        <v>1500</v>
      </c>
      <c r="J395">
        <v>15000</v>
      </c>
      <c r="K395">
        <v>12300</v>
      </c>
      <c r="L395">
        <v>2700</v>
      </c>
    </row>
    <row r="396" spans="1:12" x14ac:dyDescent="0.3">
      <c r="A396" t="s">
        <v>1183</v>
      </c>
      <c r="B396" t="s">
        <v>118</v>
      </c>
      <c r="C396" t="s">
        <v>1184</v>
      </c>
      <c r="D396" t="s">
        <v>59</v>
      </c>
      <c r="E396" t="s">
        <v>24</v>
      </c>
      <c r="F396" t="s">
        <v>25</v>
      </c>
      <c r="G396" t="s">
        <v>26</v>
      </c>
      <c r="H396">
        <v>7</v>
      </c>
      <c r="I396">
        <v>1500</v>
      </c>
      <c r="J396">
        <v>10500</v>
      </c>
      <c r="K396">
        <v>8610</v>
      </c>
      <c r="L396">
        <v>1890</v>
      </c>
    </row>
    <row r="397" spans="1:12" x14ac:dyDescent="0.3">
      <c r="A397" t="s">
        <v>1185</v>
      </c>
      <c r="B397" t="s">
        <v>121</v>
      </c>
      <c r="C397" t="s">
        <v>1186</v>
      </c>
      <c r="D397" t="s">
        <v>23</v>
      </c>
      <c r="E397" t="s">
        <v>24</v>
      </c>
      <c r="F397" t="s">
        <v>38</v>
      </c>
      <c r="G397" t="s">
        <v>84</v>
      </c>
      <c r="H397">
        <v>6</v>
      </c>
      <c r="I397">
        <v>800</v>
      </c>
      <c r="J397">
        <v>4800</v>
      </c>
      <c r="K397">
        <v>3935</v>
      </c>
      <c r="L397">
        <v>865</v>
      </c>
    </row>
    <row r="398" spans="1:12" x14ac:dyDescent="0.3">
      <c r="A398" t="s">
        <v>1187</v>
      </c>
      <c r="B398" t="s">
        <v>124</v>
      </c>
      <c r="C398" t="s">
        <v>1188</v>
      </c>
      <c r="D398" t="s">
        <v>30</v>
      </c>
      <c r="E398" t="s">
        <v>13</v>
      </c>
      <c r="F398" t="s">
        <v>52</v>
      </c>
      <c r="G398" t="s">
        <v>26</v>
      </c>
      <c r="H398">
        <v>7</v>
      </c>
      <c r="I398">
        <v>12000</v>
      </c>
      <c r="J398">
        <v>84000</v>
      </c>
      <c r="K398">
        <v>68880</v>
      </c>
      <c r="L398">
        <v>15120</v>
      </c>
    </row>
    <row r="399" spans="1:12" x14ac:dyDescent="0.3">
      <c r="A399" t="s">
        <v>1189</v>
      </c>
      <c r="B399" t="s">
        <v>127</v>
      </c>
      <c r="C399" t="s">
        <v>1190</v>
      </c>
      <c r="D399" t="s">
        <v>42</v>
      </c>
      <c r="E399" t="s">
        <v>13</v>
      </c>
      <c r="F399" t="s">
        <v>25</v>
      </c>
      <c r="G399" t="s">
        <v>43</v>
      </c>
      <c r="H399">
        <v>10</v>
      </c>
      <c r="I399">
        <v>15000</v>
      </c>
      <c r="J399">
        <v>150000</v>
      </c>
      <c r="K399">
        <v>122999</v>
      </c>
      <c r="L399">
        <v>27001</v>
      </c>
    </row>
    <row r="400" spans="1:12" x14ac:dyDescent="0.3">
      <c r="A400" t="s">
        <v>1191</v>
      </c>
      <c r="B400" t="s">
        <v>130</v>
      </c>
      <c r="C400" t="s">
        <v>1192</v>
      </c>
      <c r="D400" t="s">
        <v>12</v>
      </c>
      <c r="E400" t="s">
        <v>13</v>
      </c>
      <c r="F400" t="s">
        <v>14</v>
      </c>
      <c r="G400" t="s">
        <v>26</v>
      </c>
      <c r="H400">
        <v>9</v>
      </c>
      <c r="I400">
        <v>50000</v>
      </c>
      <c r="J400">
        <v>450000</v>
      </c>
      <c r="K400">
        <v>369000</v>
      </c>
      <c r="L400">
        <v>81000</v>
      </c>
    </row>
    <row r="401" spans="1:12" x14ac:dyDescent="0.3">
      <c r="A401" t="s">
        <v>1193</v>
      </c>
      <c r="B401" t="s">
        <v>133</v>
      </c>
      <c r="C401" t="s">
        <v>1194</v>
      </c>
      <c r="D401" t="s">
        <v>59</v>
      </c>
      <c r="E401" t="s">
        <v>24</v>
      </c>
      <c r="F401" t="s">
        <v>38</v>
      </c>
      <c r="G401" t="s">
        <v>43</v>
      </c>
      <c r="H401">
        <v>5</v>
      </c>
      <c r="I401">
        <v>1500</v>
      </c>
      <c r="J401">
        <v>7500</v>
      </c>
      <c r="K401">
        <v>6150</v>
      </c>
      <c r="L401">
        <v>1350</v>
      </c>
    </row>
    <row r="402" spans="1:12" x14ac:dyDescent="0.3">
      <c r="A402" t="s">
        <v>1195</v>
      </c>
      <c r="B402" t="s">
        <v>136</v>
      </c>
      <c r="C402" t="s">
        <v>1196</v>
      </c>
      <c r="D402" t="s">
        <v>30</v>
      </c>
      <c r="E402" t="s">
        <v>13</v>
      </c>
      <c r="F402" t="s">
        <v>25</v>
      </c>
      <c r="G402" t="s">
        <v>43</v>
      </c>
      <c r="H402">
        <v>2</v>
      </c>
      <c r="I402">
        <v>12000</v>
      </c>
      <c r="J402">
        <v>24000</v>
      </c>
      <c r="K402">
        <v>19680</v>
      </c>
      <c r="L402">
        <v>4320</v>
      </c>
    </row>
    <row r="403" spans="1:12" x14ac:dyDescent="0.3">
      <c r="A403" t="s">
        <v>1197</v>
      </c>
      <c r="B403" t="s">
        <v>139</v>
      </c>
      <c r="C403" t="s">
        <v>1198</v>
      </c>
      <c r="D403" t="s">
        <v>23</v>
      </c>
      <c r="E403" t="s">
        <v>24</v>
      </c>
      <c r="F403" t="s">
        <v>14</v>
      </c>
      <c r="G403" t="s">
        <v>19</v>
      </c>
      <c r="H403">
        <v>2</v>
      </c>
      <c r="I403">
        <v>800</v>
      </c>
      <c r="J403">
        <v>1600</v>
      </c>
      <c r="K403">
        <v>1312</v>
      </c>
      <c r="L403">
        <v>288</v>
      </c>
    </row>
    <row r="404" spans="1:12" x14ac:dyDescent="0.3">
      <c r="A404" t="s">
        <v>1199</v>
      </c>
      <c r="B404" t="s">
        <v>142</v>
      </c>
      <c r="C404" t="s">
        <v>1200</v>
      </c>
      <c r="D404" t="s">
        <v>30</v>
      </c>
      <c r="E404" t="s">
        <v>13</v>
      </c>
      <c r="F404" t="s">
        <v>52</v>
      </c>
      <c r="G404" t="s">
        <v>26</v>
      </c>
      <c r="H404">
        <v>6</v>
      </c>
      <c r="I404">
        <v>12000</v>
      </c>
      <c r="J404">
        <v>72000</v>
      </c>
      <c r="K404">
        <v>59040</v>
      </c>
      <c r="L404">
        <v>12960</v>
      </c>
    </row>
    <row r="405" spans="1:12" x14ac:dyDescent="0.3">
      <c r="A405" t="s">
        <v>1201</v>
      </c>
      <c r="B405" t="s">
        <v>145</v>
      </c>
      <c r="C405" t="s">
        <v>1202</v>
      </c>
      <c r="D405" t="s">
        <v>30</v>
      </c>
      <c r="E405" t="s">
        <v>13</v>
      </c>
      <c r="F405" t="s">
        <v>14</v>
      </c>
      <c r="G405" t="s">
        <v>15</v>
      </c>
      <c r="H405">
        <v>2</v>
      </c>
      <c r="I405">
        <v>12000</v>
      </c>
      <c r="J405">
        <v>24000</v>
      </c>
      <c r="K405">
        <v>19680</v>
      </c>
      <c r="L405">
        <v>4320</v>
      </c>
    </row>
    <row r="406" spans="1:12" x14ac:dyDescent="0.3">
      <c r="A406" t="s">
        <v>1203</v>
      </c>
      <c r="B406" t="s">
        <v>148</v>
      </c>
      <c r="C406" t="s">
        <v>1204</v>
      </c>
      <c r="D406" t="s">
        <v>42</v>
      </c>
      <c r="E406" t="s">
        <v>13</v>
      </c>
      <c r="F406" t="s">
        <v>38</v>
      </c>
      <c r="G406" t="s">
        <v>19</v>
      </c>
      <c r="H406">
        <v>6</v>
      </c>
      <c r="I406">
        <v>15000</v>
      </c>
      <c r="J406">
        <v>90000</v>
      </c>
      <c r="K406">
        <v>73800</v>
      </c>
      <c r="L406">
        <v>16200</v>
      </c>
    </row>
    <row r="407" spans="1:12" x14ac:dyDescent="0.3">
      <c r="A407" t="s">
        <v>1205</v>
      </c>
      <c r="B407" t="s">
        <v>151</v>
      </c>
      <c r="C407" t="s">
        <v>1206</v>
      </c>
      <c r="D407" t="s">
        <v>12</v>
      </c>
      <c r="E407" t="s">
        <v>13</v>
      </c>
      <c r="F407" t="s">
        <v>38</v>
      </c>
      <c r="G407" t="s">
        <v>26</v>
      </c>
      <c r="H407">
        <v>9</v>
      </c>
      <c r="I407">
        <v>50000</v>
      </c>
      <c r="J407">
        <v>450000</v>
      </c>
      <c r="K407">
        <v>369000</v>
      </c>
      <c r="L407">
        <v>81000</v>
      </c>
    </row>
    <row r="408" spans="1:12" x14ac:dyDescent="0.3">
      <c r="A408" t="s">
        <v>1207</v>
      </c>
      <c r="B408" t="s">
        <v>154</v>
      </c>
      <c r="C408" t="s">
        <v>1208</v>
      </c>
      <c r="D408" t="s">
        <v>34</v>
      </c>
      <c r="E408" t="s">
        <v>24</v>
      </c>
      <c r="F408" t="s">
        <v>25</v>
      </c>
      <c r="G408" t="s">
        <v>15</v>
      </c>
      <c r="H408">
        <v>6</v>
      </c>
      <c r="I408">
        <v>3000</v>
      </c>
      <c r="J408">
        <v>18000</v>
      </c>
      <c r="K408">
        <v>14760</v>
      </c>
      <c r="L408">
        <v>3240</v>
      </c>
    </row>
    <row r="409" spans="1:12" x14ac:dyDescent="0.3">
      <c r="A409" t="s">
        <v>1209</v>
      </c>
      <c r="B409" t="s">
        <v>157</v>
      </c>
      <c r="C409" t="s">
        <v>1210</v>
      </c>
      <c r="D409" t="s">
        <v>12</v>
      </c>
      <c r="E409" t="s">
        <v>13</v>
      </c>
      <c r="F409" t="s">
        <v>14</v>
      </c>
      <c r="G409" t="s">
        <v>19</v>
      </c>
      <c r="H409">
        <v>1</v>
      </c>
      <c r="I409">
        <v>50000</v>
      </c>
      <c r="J409">
        <v>50000</v>
      </c>
      <c r="K409">
        <v>41000</v>
      </c>
      <c r="L409">
        <v>9000</v>
      </c>
    </row>
    <row r="410" spans="1:12" x14ac:dyDescent="0.3">
      <c r="A410" t="s">
        <v>1211</v>
      </c>
      <c r="B410" t="s">
        <v>160</v>
      </c>
      <c r="C410" t="s">
        <v>1212</v>
      </c>
      <c r="D410" t="s">
        <v>42</v>
      </c>
      <c r="E410" t="s">
        <v>13</v>
      </c>
      <c r="F410" t="s">
        <v>14</v>
      </c>
      <c r="G410" t="s">
        <v>19</v>
      </c>
      <c r="H410">
        <v>2</v>
      </c>
      <c r="I410">
        <v>15000</v>
      </c>
      <c r="J410">
        <v>30000</v>
      </c>
      <c r="K410">
        <v>24600</v>
      </c>
      <c r="L410">
        <v>5400</v>
      </c>
    </row>
    <row r="411" spans="1:12" x14ac:dyDescent="0.3">
      <c r="A411" t="s">
        <v>1213</v>
      </c>
      <c r="B411" t="s">
        <v>163</v>
      </c>
      <c r="C411" t="s">
        <v>1214</v>
      </c>
      <c r="D411" t="s">
        <v>30</v>
      </c>
      <c r="E411" t="s">
        <v>13</v>
      </c>
      <c r="F411" t="s">
        <v>25</v>
      </c>
      <c r="G411" t="s">
        <v>15</v>
      </c>
      <c r="H411">
        <v>2</v>
      </c>
      <c r="I411">
        <v>12000</v>
      </c>
      <c r="J411">
        <v>24000</v>
      </c>
      <c r="K411">
        <v>19680</v>
      </c>
      <c r="L411">
        <v>4320</v>
      </c>
    </row>
    <row r="412" spans="1:12" x14ac:dyDescent="0.3">
      <c r="A412" t="s">
        <v>1215</v>
      </c>
      <c r="B412" t="s">
        <v>166</v>
      </c>
      <c r="C412" t="s">
        <v>1216</v>
      </c>
      <c r="D412" t="s">
        <v>50</v>
      </c>
      <c r="E412" t="s">
        <v>51</v>
      </c>
      <c r="F412" t="s">
        <v>25</v>
      </c>
      <c r="G412" t="s">
        <v>19</v>
      </c>
      <c r="H412">
        <v>3</v>
      </c>
      <c r="I412">
        <v>2200</v>
      </c>
      <c r="J412">
        <v>6600</v>
      </c>
      <c r="K412">
        <v>5412</v>
      </c>
      <c r="L412">
        <v>1188</v>
      </c>
    </row>
    <row r="413" spans="1:12" x14ac:dyDescent="0.3">
      <c r="A413" t="s">
        <v>1217</v>
      </c>
      <c r="B413" t="s">
        <v>169</v>
      </c>
      <c r="C413" t="s">
        <v>1218</v>
      </c>
      <c r="D413" t="s">
        <v>23</v>
      </c>
      <c r="E413" t="s">
        <v>24</v>
      </c>
      <c r="F413" t="s">
        <v>14</v>
      </c>
      <c r="G413" t="s">
        <v>26</v>
      </c>
      <c r="H413">
        <v>10</v>
      </c>
      <c r="I413">
        <v>800</v>
      </c>
      <c r="J413">
        <v>8000</v>
      </c>
      <c r="K413">
        <v>6560</v>
      </c>
      <c r="L413">
        <v>1440</v>
      </c>
    </row>
    <row r="414" spans="1:12" x14ac:dyDescent="0.3">
      <c r="A414" t="s">
        <v>1219</v>
      </c>
      <c r="B414" t="s">
        <v>172</v>
      </c>
      <c r="C414" t="s">
        <v>1220</v>
      </c>
      <c r="D414" t="s">
        <v>59</v>
      </c>
      <c r="E414" t="s">
        <v>24</v>
      </c>
      <c r="F414" t="s">
        <v>38</v>
      </c>
      <c r="G414" t="s">
        <v>26</v>
      </c>
      <c r="H414">
        <v>6</v>
      </c>
      <c r="I414">
        <v>1500</v>
      </c>
      <c r="J414">
        <v>9000</v>
      </c>
      <c r="K414">
        <v>7380</v>
      </c>
      <c r="L414">
        <v>1620</v>
      </c>
    </row>
    <row r="415" spans="1:12" x14ac:dyDescent="0.3">
      <c r="A415" t="s">
        <v>1221</v>
      </c>
      <c r="B415" t="s">
        <v>175</v>
      </c>
      <c r="C415" t="s">
        <v>1222</v>
      </c>
      <c r="D415" t="s">
        <v>12</v>
      </c>
      <c r="E415" t="s">
        <v>13</v>
      </c>
      <c r="F415" t="s">
        <v>52</v>
      </c>
      <c r="G415" t="s">
        <v>84</v>
      </c>
      <c r="H415">
        <v>10</v>
      </c>
      <c r="I415">
        <v>50000</v>
      </c>
      <c r="J415">
        <v>500000</v>
      </c>
      <c r="K415">
        <v>410000</v>
      </c>
      <c r="L415">
        <v>90000</v>
      </c>
    </row>
    <row r="416" spans="1:12" x14ac:dyDescent="0.3">
      <c r="A416" t="s">
        <v>1223</v>
      </c>
      <c r="B416" t="s">
        <v>178</v>
      </c>
      <c r="C416" t="s">
        <v>1224</v>
      </c>
      <c r="D416" t="s">
        <v>42</v>
      </c>
      <c r="E416" t="s">
        <v>13</v>
      </c>
      <c r="F416" t="s">
        <v>25</v>
      </c>
      <c r="G416" t="s">
        <v>43</v>
      </c>
      <c r="H416">
        <v>4</v>
      </c>
      <c r="I416">
        <v>15000</v>
      </c>
      <c r="J416">
        <v>60000</v>
      </c>
      <c r="K416">
        <v>49200</v>
      </c>
      <c r="L416">
        <v>10800</v>
      </c>
    </row>
    <row r="417" spans="1:12" x14ac:dyDescent="0.3">
      <c r="A417" t="s">
        <v>1225</v>
      </c>
      <c r="B417" t="s">
        <v>181</v>
      </c>
      <c r="C417" t="s">
        <v>1226</v>
      </c>
      <c r="D417" t="s">
        <v>42</v>
      </c>
      <c r="E417" t="s">
        <v>13</v>
      </c>
      <c r="F417" t="s">
        <v>52</v>
      </c>
      <c r="G417" t="s">
        <v>19</v>
      </c>
      <c r="H417">
        <v>7</v>
      </c>
      <c r="I417">
        <v>15000</v>
      </c>
      <c r="J417">
        <v>105000</v>
      </c>
      <c r="K417">
        <v>86100</v>
      </c>
      <c r="L417">
        <v>18900</v>
      </c>
    </row>
    <row r="418" spans="1:12" x14ac:dyDescent="0.3">
      <c r="A418" t="s">
        <v>1227</v>
      </c>
      <c r="B418" t="s">
        <v>184</v>
      </c>
      <c r="C418" t="s">
        <v>1228</v>
      </c>
      <c r="D418" t="s">
        <v>34</v>
      </c>
      <c r="E418" t="s">
        <v>24</v>
      </c>
      <c r="F418" t="s">
        <v>38</v>
      </c>
      <c r="G418" t="s">
        <v>15</v>
      </c>
      <c r="H418">
        <v>7</v>
      </c>
      <c r="I418">
        <v>3000</v>
      </c>
      <c r="J418">
        <v>21000</v>
      </c>
      <c r="K418">
        <v>17220</v>
      </c>
      <c r="L418">
        <v>3780</v>
      </c>
    </row>
    <row r="419" spans="1:12" x14ac:dyDescent="0.3">
      <c r="A419" t="s">
        <v>1229</v>
      </c>
      <c r="B419" t="s">
        <v>187</v>
      </c>
      <c r="C419" t="s">
        <v>1230</v>
      </c>
      <c r="D419" t="s">
        <v>42</v>
      </c>
      <c r="E419" t="s">
        <v>13</v>
      </c>
      <c r="F419" t="s">
        <v>14</v>
      </c>
      <c r="G419" t="s">
        <v>15</v>
      </c>
      <c r="H419">
        <v>6</v>
      </c>
      <c r="I419">
        <v>15000</v>
      </c>
      <c r="J419">
        <v>90000</v>
      </c>
      <c r="K419">
        <v>73800</v>
      </c>
      <c r="L419">
        <v>16200</v>
      </c>
    </row>
    <row r="420" spans="1:12" x14ac:dyDescent="0.3">
      <c r="A420" t="s">
        <v>1231</v>
      </c>
      <c r="B420" t="s">
        <v>190</v>
      </c>
      <c r="C420" t="s">
        <v>1232</v>
      </c>
      <c r="D420" t="s">
        <v>59</v>
      </c>
      <c r="E420" t="s">
        <v>24</v>
      </c>
      <c r="F420" t="s">
        <v>25</v>
      </c>
      <c r="G420" t="s">
        <v>15</v>
      </c>
      <c r="H420">
        <v>3</v>
      </c>
      <c r="I420">
        <v>1500</v>
      </c>
      <c r="J420">
        <v>4500</v>
      </c>
      <c r="K420">
        <v>3690</v>
      </c>
      <c r="L420">
        <v>810</v>
      </c>
    </row>
    <row r="421" spans="1:12" x14ac:dyDescent="0.3">
      <c r="A421" t="s">
        <v>1233</v>
      </c>
      <c r="B421" t="s">
        <v>193</v>
      </c>
      <c r="C421" t="s">
        <v>1234</v>
      </c>
      <c r="D421" t="s">
        <v>30</v>
      </c>
      <c r="E421" t="s">
        <v>13</v>
      </c>
      <c r="F421" t="s">
        <v>38</v>
      </c>
      <c r="G421" t="s">
        <v>43</v>
      </c>
      <c r="H421">
        <v>9</v>
      </c>
      <c r="I421">
        <v>12000</v>
      </c>
      <c r="J421">
        <v>108000</v>
      </c>
      <c r="K421">
        <v>88560</v>
      </c>
      <c r="L421">
        <v>19440</v>
      </c>
    </row>
    <row r="422" spans="1:12" x14ac:dyDescent="0.3">
      <c r="A422" t="s">
        <v>1235</v>
      </c>
      <c r="B422" t="s">
        <v>196</v>
      </c>
      <c r="C422" t="s">
        <v>1236</v>
      </c>
      <c r="D422" t="s">
        <v>30</v>
      </c>
      <c r="E422" t="s">
        <v>13</v>
      </c>
      <c r="F422" t="s">
        <v>14</v>
      </c>
      <c r="G422" t="s">
        <v>84</v>
      </c>
      <c r="H422">
        <v>3</v>
      </c>
      <c r="I422">
        <v>12000</v>
      </c>
      <c r="J422">
        <v>36000</v>
      </c>
      <c r="K422">
        <v>29520</v>
      </c>
      <c r="L422">
        <v>6480</v>
      </c>
    </row>
    <row r="423" spans="1:12" x14ac:dyDescent="0.3">
      <c r="A423" t="s">
        <v>1237</v>
      </c>
      <c r="B423" t="s">
        <v>199</v>
      </c>
      <c r="C423" t="s">
        <v>1238</v>
      </c>
      <c r="D423" t="s">
        <v>106</v>
      </c>
      <c r="E423" t="s">
        <v>107</v>
      </c>
      <c r="F423" t="s">
        <v>52</v>
      </c>
      <c r="G423" t="s">
        <v>43</v>
      </c>
      <c r="H423">
        <v>4</v>
      </c>
      <c r="I423">
        <v>6500</v>
      </c>
      <c r="J423">
        <v>26000</v>
      </c>
      <c r="K423">
        <v>21320</v>
      </c>
      <c r="L423">
        <v>4680</v>
      </c>
    </row>
    <row r="424" spans="1:12" x14ac:dyDescent="0.3">
      <c r="A424" t="s">
        <v>1239</v>
      </c>
      <c r="B424" t="s">
        <v>202</v>
      </c>
      <c r="C424" t="s">
        <v>1240</v>
      </c>
      <c r="D424" t="s">
        <v>12</v>
      </c>
      <c r="E424" t="s">
        <v>13</v>
      </c>
      <c r="F424" t="s">
        <v>14</v>
      </c>
      <c r="G424" t="s">
        <v>26</v>
      </c>
      <c r="H424">
        <v>4</v>
      </c>
      <c r="I424">
        <v>50000</v>
      </c>
      <c r="J424">
        <v>200000</v>
      </c>
      <c r="K424">
        <v>164000</v>
      </c>
      <c r="L424">
        <v>36000</v>
      </c>
    </row>
    <row r="425" spans="1:12" x14ac:dyDescent="0.3">
      <c r="A425" t="s">
        <v>1241</v>
      </c>
      <c r="B425" t="s">
        <v>205</v>
      </c>
      <c r="C425" t="s">
        <v>1242</v>
      </c>
      <c r="D425" t="s">
        <v>34</v>
      </c>
      <c r="E425" t="s">
        <v>24</v>
      </c>
      <c r="F425" t="s">
        <v>52</v>
      </c>
      <c r="G425" t="s">
        <v>15</v>
      </c>
      <c r="H425">
        <v>8</v>
      </c>
      <c r="I425">
        <v>3000</v>
      </c>
      <c r="J425">
        <v>24000</v>
      </c>
      <c r="K425">
        <v>19680</v>
      </c>
      <c r="L425">
        <v>4320</v>
      </c>
    </row>
    <row r="426" spans="1:12" x14ac:dyDescent="0.3">
      <c r="A426" t="s">
        <v>1243</v>
      </c>
      <c r="B426" t="s">
        <v>208</v>
      </c>
      <c r="C426" t="s">
        <v>1244</v>
      </c>
      <c r="D426" t="s">
        <v>50</v>
      </c>
      <c r="E426" t="s">
        <v>51</v>
      </c>
      <c r="F426" t="s">
        <v>14</v>
      </c>
      <c r="G426" t="s">
        <v>84</v>
      </c>
      <c r="H426">
        <v>4</v>
      </c>
      <c r="I426">
        <v>2200</v>
      </c>
      <c r="J426">
        <v>8800</v>
      </c>
      <c r="K426">
        <v>7216</v>
      </c>
      <c r="L426">
        <v>1584</v>
      </c>
    </row>
    <row r="427" spans="1:12" x14ac:dyDescent="0.3">
      <c r="A427" t="s">
        <v>1245</v>
      </c>
      <c r="B427" t="s">
        <v>211</v>
      </c>
      <c r="C427" t="s">
        <v>1246</v>
      </c>
      <c r="D427" t="s">
        <v>50</v>
      </c>
      <c r="E427" t="s">
        <v>51</v>
      </c>
      <c r="F427" t="s">
        <v>52</v>
      </c>
      <c r="G427" t="s">
        <v>15</v>
      </c>
      <c r="H427">
        <v>5</v>
      </c>
      <c r="I427">
        <v>2200</v>
      </c>
      <c r="J427">
        <v>11000</v>
      </c>
      <c r="K427">
        <v>9020</v>
      </c>
      <c r="L427">
        <v>1980</v>
      </c>
    </row>
    <row r="428" spans="1:12" x14ac:dyDescent="0.3">
      <c r="A428" t="s">
        <v>1247</v>
      </c>
      <c r="B428" t="s">
        <v>214</v>
      </c>
      <c r="C428" t="s">
        <v>1248</v>
      </c>
      <c r="D428" t="s">
        <v>42</v>
      </c>
      <c r="E428" t="s">
        <v>13</v>
      </c>
      <c r="F428" t="s">
        <v>25</v>
      </c>
      <c r="G428" t="s">
        <v>43</v>
      </c>
      <c r="H428">
        <v>9</v>
      </c>
      <c r="I428">
        <v>15000</v>
      </c>
      <c r="J428">
        <v>135000</v>
      </c>
      <c r="K428">
        <v>110700</v>
      </c>
      <c r="L428">
        <v>24300</v>
      </c>
    </row>
    <row r="429" spans="1:12" x14ac:dyDescent="0.3">
      <c r="A429" t="s">
        <v>1249</v>
      </c>
      <c r="B429" t="s">
        <v>217</v>
      </c>
      <c r="C429" t="s">
        <v>1250</v>
      </c>
      <c r="D429" t="s">
        <v>50</v>
      </c>
      <c r="E429" t="s">
        <v>51</v>
      </c>
      <c r="F429" t="s">
        <v>25</v>
      </c>
      <c r="G429" t="s">
        <v>26</v>
      </c>
      <c r="H429">
        <v>10</v>
      </c>
      <c r="I429">
        <v>2200</v>
      </c>
      <c r="J429">
        <v>22000</v>
      </c>
      <c r="K429">
        <v>18040</v>
      </c>
      <c r="L429">
        <v>3960</v>
      </c>
    </row>
    <row r="430" spans="1:12" x14ac:dyDescent="0.3">
      <c r="A430" t="s">
        <v>1251</v>
      </c>
      <c r="B430" t="s">
        <v>220</v>
      </c>
      <c r="C430" t="s">
        <v>1252</v>
      </c>
      <c r="D430" t="s">
        <v>34</v>
      </c>
      <c r="E430" t="s">
        <v>24</v>
      </c>
      <c r="F430" t="s">
        <v>38</v>
      </c>
      <c r="G430" t="s">
        <v>26</v>
      </c>
      <c r="H430">
        <v>2</v>
      </c>
      <c r="I430">
        <v>3000</v>
      </c>
      <c r="J430">
        <v>6000</v>
      </c>
      <c r="K430">
        <v>4920</v>
      </c>
      <c r="L430">
        <v>1080</v>
      </c>
    </row>
    <row r="431" spans="1:12" x14ac:dyDescent="0.3">
      <c r="A431" t="s">
        <v>1253</v>
      </c>
      <c r="B431" t="s">
        <v>223</v>
      </c>
      <c r="C431" t="s">
        <v>1254</v>
      </c>
      <c r="D431" t="s">
        <v>34</v>
      </c>
      <c r="E431" t="s">
        <v>24</v>
      </c>
      <c r="F431" t="s">
        <v>38</v>
      </c>
      <c r="G431" t="s">
        <v>15</v>
      </c>
      <c r="H431">
        <v>10</v>
      </c>
      <c r="I431">
        <v>3000</v>
      </c>
      <c r="J431">
        <v>30000</v>
      </c>
      <c r="K431">
        <v>24600</v>
      </c>
      <c r="L431">
        <v>5400</v>
      </c>
    </row>
    <row r="432" spans="1:12" x14ac:dyDescent="0.3">
      <c r="A432" t="s">
        <v>1255</v>
      </c>
      <c r="B432" t="s">
        <v>226</v>
      </c>
      <c r="C432" t="s">
        <v>1256</v>
      </c>
      <c r="D432" t="s">
        <v>42</v>
      </c>
      <c r="E432" t="s">
        <v>13</v>
      </c>
      <c r="F432" t="s">
        <v>38</v>
      </c>
      <c r="G432" t="s">
        <v>84</v>
      </c>
      <c r="H432">
        <v>8</v>
      </c>
      <c r="I432">
        <v>15000</v>
      </c>
      <c r="J432">
        <v>120000</v>
      </c>
      <c r="K432">
        <v>98400</v>
      </c>
      <c r="L432">
        <v>21600</v>
      </c>
    </row>
    <row r="433" spans="1:12" x14ac:dyDescent="0.3">
      <c r="A433" t="s">
        <v>1257</v>
      </c>
      <c r="B433" t="s">
        <v>229</v>
      </c>
      <c r="C433" t="s">
        <v>1258</v>
      </c>
      <c r="D433" t="s">
        <v>12</v>
      </c>
      <c r="E433" t="s">
        <v>13</v>
      </c>
      <c r="F433" t="s">
        <v>52</v>
      </c>
      <c r="G433" t="s">
        <v>26</v>
      </c>
      <c r="H433">
        <v>9</v>
      </c>
      <c r="I433">
        <v>50000</v>
      </c>
      <c r="J433">
        <v>450000</v>
      </c>
      <c r="K433">
        <v>369000</v>
      </c>
      <c r="L433">
        <v>81000</v>
      </c>
    </row>
    <row r="434" spans="1:12" x14ac:dyDescent="0.3">
      <c r="A434" t="s">
        <v>1259</v>
      </c>
      <c r="B434" t="s">
        <v>232</v>
      </c>
      <c r="C434" t="s">
        <v>1260</v>
      </c>
      <c r="D434" t="s">
        <v>106</v>
      </c>
      <c r="E434" t="s">
        <v>107</v>
      </c>
      <c r="F434" t="s">
        <v>14</v>
      </c>
      <c r="G434" t="s">
        <v>15</v>
      </c>
      <c r="H434">
        <v>8</v>
      </c>
      <c r="I434">
        <v>6500</v>
      </c>
      <c r="J434">
        <v>52000</v>
      </c>
      <c r="K434">
        <v>42640</v>
      </c>
      <c r="L434">
        <v>9360</v>
      </c>
    </row>
    <row r="435" spans="1:12" x14ac:dyDescent="0.3">
      <c r="A435" t="s">
        <v>1261</v>
      </c>
      <c r="B435" t="s">
        <v>235</v>
      </c>
      <c r="C435" t="s">
        <v>1262</v>
      </c>
      <c r="D435" t="s">
        <v>12</v>
      </c>
      <c r="E435" t="s">
        <v>13</v>
      </c>
      <c r="F435" t="s">
        <v>38</v>
      </c>
      <c r="G435" t="s">
        <v>19</v>
      </c>
      <c r="H435">
        <v>4</v>
      </c>
      <c r="I435">
        <v>50000</v>
      </c>
      <c r="J435">
        <v>200000</v>
      </c>
      <c r="K435">
        <v>164000</v>
      </c>
      <c r="L435">
        <v>36000</v>
      </c>
    </row>
    <row r="436" spans="1:12" x14ac:dyDescent="0.3">
      <c r="A436" t="s">
        <v>1263</v>
      </c>
      <c r="B436" t="s">
        <v>238</v>
      </c>
      <c r="C436" t="s">
        <v>1264</v>
      </c>
      <c r="D436" t="s">
        <v>59</v>
      </c>
      <c r="E436" t="s">
        <v>24</v>
      </c>
      <c r="F436" t="s">
        <v>52</v>
      </c>
      <c r="G436" t="s">
        <v>84</v>
      </c>
      <c r="H436">
        <v>3</v>
      </c>
      <c r="I436">
        <v>1500</v>
      </c>
      <c r="J436">
        <v>4500</v>
      </c>
      <c r="K436">
        <v>3690</v>
      </c>
      <c r="L436">
        <v>810</v>
      </c>
    </row>
    <row r="437" spans="1:12" x14ac:dyDescent="0.3">
      <c r="A437" t="s">
        <v>1265</v>
      </c>
      <c r="B437" t="s">
        <v>241</v>
      </c>
      <c r="C437" t="s">
        <v>1266</v>
      </c>
      <c r="D437" t="s">
        <v>34</v>
      </c>
      <c r="E437" t="s">
        <v>24</v>
      </c>
      <c r="F437" t="s">
        <v>38</v>
      </c>
      <c r="G437" t="s">
        <v>43</v>
      </c>
      <c r="H437">
        <v>2</v>
      </c>
      <c r="I437">
        <v>3000</v>
      </c>
      <c r="J437">
        <v>6000</v>
      </c>
      <c r="K437">
        <v>4920</v>
      </c>
      <c r="L437">
        <v>1080</v>
      </c>
    </row>
    <row r="438" spans="1:12" x14ac:dyDescent="0.3">
      <c r="A438" t="s">
        <v>1267</v>
      </c>
      <c r="B438" t="s">
        <v>244</v>
      </c>
      <c r="C438" t="s">
        <v>1268</v>
      </c>
      <c r="D438" t="s">
        <v>30</v>
      </c>
      <c r="E438" t="s">
        <v>13</v>
      </c>
      <c r="F438" t="s">
        <v>52</v>
      </c>
      <c r="G438" t="s">
        <v>15</v>
      </c>
      <c r="H438">
        <v>9</v>
      </c>
      <c r="I438">
        <v>12000</v>
      </c>
      <c r="J438">
        <v>108000</v>
      </c>
      <c r="K438">
        <v>88560</v>
      </c>
      <c r="L438">
        <v>19440</v>
      </c>
    </row>
    <row r="439" spans="1:12" x14ac:dyDescent="0.3">
      <c r="A439" t="s">
        <v>1269</v>
      </c>
      <c r="B439" t="s">
        <v>247</v>
      </c>
      <c r="C439" t="s">
        <v>1270</v>
      </c>
      <c r="D439" t="s">
        <v>59</v>
      </c>
      <c r="E439" t="s">
        <v>24</v>
      </c>
      <c r="F439" t="s">
        <v>52</v>
      </c>
      <c r="G439" t="s">
        <v>19</v>
      </c>
      <c r="H439">
        <v>9</v>
      </c>
      <c r="I439">
        <v>1500</v>
      </c>
      <c r="J439">
        <v>13500</v>
      </c>
      <c r="K439">
        <v>11070</v>
      </c>
      <c r="L439">
        <v>2430</v>
      </c>
    </row>
    <row r="440" spans="1:12" x14ac:dyDescent="0.3">
      <c r="A440" t="s">
        <v>1271</v>
      </c>
      <c r="B440" t="s">
        <v>250</v>
      </c>
      <c r="C440" t="s">
        <v>1272</v>
      </c>
      <c r="D440" t="s">
        <v>23</v>
      </c>
      <c r="E440" t="s">
        <v>24</v>
      </c>
      <c r="F440" t="s">
        <v>38</v>
      </c>
      <c r="G440" t="s">
        <v>84</v>
      </c>
      <c r="H440">
        <v>1</v>
      </c>
      <c r="I440">
        <v>800</v>
      </c>
      <c r="J440">
        <v>800</v>
      </c>
      <c r="K440">
        <v>656</v>
      </c>
      <c r="L440">
        <v>144</v>
      </c>
    </row>
    <row r="441" spans="1:12" x14ac:dyDescent="0.3">
      <c r="A441" t="s">
        <v>1273</v>
      </c>
      <c r="B441" t="s">
        <v>253</v>
      </c>
      <c r="C441" t="s">
        <v>1274</v>
      </c>
      <c r="D441" t="s">
        <v>34</v>
      </c>
      <c r="E441" t="s">
        <v>24</v>
      </c>
      <c r="F441" t="s">
        <v>38</v>
      </c>
      <c r="G441" t="s">
        <v>19</v>
      </c>
      <c r="H441">
        <v>6</v>
      </c>
      <c r="I441">
        <v>3000</v>
      </c>
      <c r="J441">
        <v>18000</v>
      </c>
      <c r="K441">
        <v>14760</v>
      </c>
      <c r="L441">
        <v>3240</v>
      </c>
    </row>
    <row r="442" spans="1:12" x14ac:dyDescent="0.3">
      <c r="A442" t="s">
        <v>1275</v>
      </c>
      <c r="B442" t="s">
        <v>256</v>
      </c>
      <c r="C442" t="s">
        <v>1276</v>
      </c>
      <c r="D442" t="s">
        <v>42</v>
      </c>
      <c r="E442" t="s">
        <v>13</v>
      </c>
      <c r="F442" t="s">
        <v>25</v>
      </c>
      <c r="G442" t="s">
        <v>84</v>
      </c>
      <c r="H442">
        <v>4</v>
      </c>
      <c r="I442">
        <v>15000</v>
      </c>
      <c r="J442">
        <v>60000</v>
      </c>
      <c r="K442">
        <v>49200</v>
      </c>
      <c r="L442">
        <v>10800</v>
      </c>
    </row>
    <row r="443" spans="1:12" x14ac:dyDescent="0.3">
      <c r="A443" t="s">
        <v>1277</v>
      </c>
      <c r="B443" t="s">
        <v>259</v>
      </c>
      <c r="C443" t="s">
        <v>1278</v>
      </c>
      <c r="D443" t="s">
        <v>23</v>
      </c>
      <c r="E443" t="s">
        <v>24</v>
      </c>
      <c r="F443" t="s">
        <v>52</v>
      </c>
      <c r="G443" t="s">
        <v>84</v>
      </c>
      <c r="H443">
        <v>3</v>
      </c>
      <c r="I443">
        <v>800</v>
      </c>
      <c r="J443">
        <v>2400</v>
      </c>
      <c r="K443">
        <v>1967</v>
      </c>
      <c r="L443">
        <v>433</v>
      </c>
    </row>
    <row r="444" spans="1:12" x14ac:dyDescent="0.3">
      <c r="A444" t="s">
        <v>1279</v>
      </c>
      <c r="B444" t="s">
        <v>262</v>
      </c>
      <c r="C444" t="s">
        <v>1280</v>
      </c>
      <c r="D444" t="s">
        <v>59</v>
      </c>
      <c r="E444" t="s">
        <v>24</v>
      </c>
      <c r="F444" t="s">
        <v>14</v>
      </c>
      <c r="G444" t="s">
        <v>43</v>
      </c>
      <c r="H444">
        <v>8</v>
      </c>
      <c r="I444">
        <v>1500</v>
      </c>
      <c r="J444">
        <v>12000</v>
      </c>
      <c r="K444">
        <v>9840</v>
      </c>
      <c r="L444">
        <v>2160</v>
      </c>
    </row>
    <row r="445" spans="1:12" x14ac:dyDescent="0.3">
      <c r="A445" t="s">
        <v>1281</v>
      </c>
      <c r="B445" t="s">
        <v>265</v>
      </c>
      <c r="C445" t="s">
        <v>1282</v>
      </c>
      <c r="D445" t="s">
        <v>106</v>
      </c>
      <c r="E445" t="s">
        <v>107</v>
      </c>
      <c r="F445" t="s">
        <v>52</v>
      </c>
      <c r="G445" t="s">
        <v>43</v>
      </c>
      <c r="H445">
        <v>10</v>
      </c>
      <c r="I445">
        <v>6500</v>
      </c>
      <c r="J445">
        <v>65000</v>
      </c>
      <c r="K445">
        <v>53300</v>
      </c>
      <c r="L445">
        <v>11700</v>
      </c>
    </row>
    <row r="446" spans="1:12" x14ac:dyDescent="0.3">
      <c r="A446" t="s">
        <v>1283</v>
      </c>
      <c r="B446" t="s">
        <v>268</v>
      </c>
      <c r="C446" t="s">
        <v>1284</v>
      </c>
      <c r="D446" t="s">
        <v>42</v>
      </c>
      <c r="E446" t="s">
        <v>13</v>
      </c>
      <c r="F446" t="s">
        <v>14</v>
      </c>
      <c r="G446" t="s">
        <v>84</v>
      </c>
      <c r="H446">
        <v>1</v>
      </c>
      <c r="I446">
        <v>15000</v>
      </c>
      <c r="J446">
        <v>15000</v>
      </c>
      <c r="K446">
        <v>12300</v>
      </c>
      <c r="L446">
        <v>2700</v>
      </c>
    </row>
    <row r="447" spans="1:12" x14ac:dyDescent="0.3">
      <c r="A447" t="s">
        <v>1285</v>
      </c>
      <c r="B447" t="s">
        <v>271</v>
      </c>
      <c r="C447" t="s">
        <v>1286</v>
      </c>
      <c r="D447" t="s">
        <v>34</v>
      </c>
      <c r="E447" t="s">
        <v>24</v>
      </c>
      <c r="F447" t="s">
        <v>14</v>
      </c>
      <c r="G447" t="s">
        <v>84</v>
      </c>
      <c r="H447">
        <v>2</v>
      </c>
      <c r="I447">
        <v>3000</v>
      </c>
      <c r="J447">
        <v>6000</v>
      </c>
      <c r="K447">
        <v>4920</v>
      </c>
      <c r="L447">
        <v>1080</v>
      </c>
    </row>
    <row r="448" spans="1:12" x14ac:dyDescent="0.3">
      <c r="A448" t="s">
        <v>1287</v>
      </c>
      <c r="B448" t="s">
        <v>274</v>
      </c>
      <c r="C448" t="s">
        <v>1288</v>
      </c>
      <c r="D448" t="s">
        <v>106</v>
      </c>
      <c r="E448" t="s">
        <v>107</v>
      </c>
      <c r="F448" t="s">
        <v>14</v>
      </c>
      <c r="G448" t="s">
        <v>15</v>
      </c>
      <c r="H448">
        <v>7</v>
      </c>
      <c r="I448">
        <v>6500</v>
      </c>
      <c r="J448">
        <v>45500</v>
      </c>
      <c r="K448">
        <v>37310</v>
      </c>
      <c r="L448">
        <v>8190</v>
      </c>
    </row>
    <row r="449" spans="1:12" x14ac:dyDescent="0.3">
      <c r="A449" t="s">
        <v>1289</v>
      </c>
      <c r="B449" t="s">
        <v>277</v>
      </c>
      <c r="C449" t="s">
        <v>1290</v>
      </c>
      <c r="D449" t="s">
        <v>50</v>
      </c>
      <c r="E449" t="s">
        <v>51</v>
      </c>
      <c r="F449" t="s">
        <v>25</v>
      </c>
      <c r="G449" t="s">
        <v>26</v>
      </c>
      <c r="H449">
        <v>3</v>
      </c>
      <c r="I449">
        <v>2200</v>
      </c>
      <c r="J449">
        <v>6600</v>
      </c>
      <c r="K449">
        <v>5412</v>
      </c>
      <c r="L449">
        <v>1188</v>
      </c>
    </row>
    <row r="450" spans="1:12" x14ac:dyDescent="0.3">
      <c r="A450" t="s">
        <v>1291</v>
      </c>
      <c r="B450" t="s">
        <v>280</v>
      </c>
      <c r="C450" t="s">
        <v>1292</v>
      </c>
      <c r="D450" t="s">
        <v>12</v>
      </c>
      <c r="E450" t="s">
        <v>13</v>
      </c>
      <c r="F450" t="s">
        <v>52</v>
      </c>
      <c r="G450" t="s">
        <v>15</v>
      </c>
      <c r="H450">
        <v>1</v>
      </c>
      <c r="I450">
        <v>50000</v>
      </c>
      <c r="J450">
        <v>50000</v>
      </c>
      <c r="K450">
        <v>41000</v>
      </c>
      <c r="L450">
        <v>9000</v>
      </c>
    </row>
    <row r="451" spans="1:12" x14ac:dyDescent="0.3">
      <c r="A451" t="s">
        <v>1293</v>
      </c>
      <c r="B451" t="s">
        <v>283</v>
      </c>
      <c r="C451" t="s">
        <v>1294</v>
      </c>
      <c r="D451" t="s">
        <v>42</v>
      </c>
      <c r="E451" t="s">
        <v>13</v>
      </c>
      <c r="F451" t="s">
        <v>14</v>
      </c>
      <c r="G451" t="s">
        <v>19</v>
      </c>
      <c r="H451">
        <v>8</v>
      </c>
      <c r="I451">
        <v>15000</v>
      </c>
      <c r="J451">
        <v>120000</v>
      </c>
      <c r="K451">
        <v>98400</v>
      </c>
      <c r="L451">
        <v>21600</v>
      </c>
    </row>
    <row r="452" spans="1:12" x14ac:dyDescent="0.3">
      <c r="A452" t="s">
        <v>1295</v>
      </c>
      <c r="B452" t="s">
        <v>286</v>
      </c>
      <c r="C452" t="s">
        <v>1296</v>
      </c>
      <c r="D452" t="s">
        <v>50</v>
      </c>
      <c r="E452" t="s">
        <v>51</v>
      </c>
      <c r="F452" t="s">
        <v>25</v>
      </c>
      <c r="G452" t="s">
        <v>19</v>
      </c>
      <c r="H452">
        <v>7</v>
      </c>
      <c r="I452">
        <v>2200</v>
      </c>
      <c r="J452">
        <v>15400</v>
      </c>
      <c r="K452">
        <v>12628</v>
      </c>
      <c r="L452">
        <v>2772</v>
      </c>
    </row>
    <row r="453" spans="1:12" x14ac:dyDescent="0.3">
      <c r="A453" t="s">
        <v>1297</v>
      </c>
      <c r="B453" t="s">
        <v>289</v>
      </c>
      <c r="C453" t="s">
        <v>1298</v>
      </c>
      <c r="D453" t="s">
        <v>42</v>
      </c>
      <c r="E453" t="s">
        <v>13</v>
      </c>
      <c r="F453" t="s">
        <v>25</v>
      </c>
      <c r="G453" t="s">
        <v>43</v>
      </c>
      <c r="H453">
        <v>4</v>
      </c>
      <c r="I453">
        <v>15000</v>
      </c>
      <c r="J453">
        <v>60000</v>
      </c>
      <c r="K453">
        <v>49200</v>
      </c>
      <c r="L453">
        <v>10800</v>
      </c>
    </row>
    <row r="454" spans="1:12" x14ac:dyDescent="0.3">
      <c r="A454" t="s">
        <v>1299</v>
      </c>
      <c r="B454" t="s">
        <v>292</v>
      </c>
      <c r="C454" t="s">
        <v>1300</v>
      </c>
      <c r="D454" t="s">
        <v>106</v>
      </c>
      <c r="E454" t="s">
        <v>107</v>
      </c>
      <c r="F454" t="s">
        <v>52</v>
      </c>
      <c r="G454" t="s">
        <v>19</v>
      </c>
      <c r="H454">
        <v>2</v>
      </c>
      <c r="I454">
        <v>6500</v>
      </c>
      <c r="J454">
        <v>13000</v>
      </c>
      <c r="K454">
        <v>10660</v>
      </c>
      <c r="L454">
        <v>2340</v>
      </c>
    </row>
    <row r="455" spans="1:12" x14ac:dyDescent="0.3">
      <c r="A455" t="s">
        <v>1301</v>
      </c>
      <c r="B455" t="s">
        <v>295</v>
      </c>
      <c r="C455" t="s">
        <v>1302</v>
      </c>
      <c r="D455" t="s">
        <v>30</v>
      </c>
      <c r="E455" t="s">
        <v>13</v>
      </c>
      <c r="F455" t="s">
        <v>25</v>
      </c>
      <c r="G455" t="s">
        <v>43</v>
      </c>
      <c r="H455">
        <v>4</v>
      </c>
      <c r="I455">
        <v>12000</v>
      </c>
      <c r="J455">
        <v>48000</v>
      </c>
      <c r="K455">
        <v>39360</v>
      </c>
      <c r="L455">
        <v>8640</v>
      </c>
    </row>
    <row r="456" spans="1:12" x14ac:dyDescent="0.3">
      <c r="A456" t="s">
        <v>1303</v>
      </c>
      <c r="B456" t="s">
        <v>298</v>
      </c>
      <c r="C456" t="s">
        <v>1304</v>
      </c>
      <c r="D456" t="s">
        <v>12</v>
      </c>
      <c r="E456" t="s">
        <v>13</v>
      </c>
      <c r="F456" t="s">
        <v>14</v>
      </c>
      <c r="G456" t="s">
        <v>26</v>
      </c>
      <c r="H456">
        <v>3</v>
      </c>
      <c r="I456">
        <v>50000</v>
      </c>
      <c r="J456">
        <v>150000</v>
      </c>
      <c r="K456">
        <v>122999</v>
      </c>
      <c r="L456">
        <v>27001</v>
      </c>
    </row>
    <row r="457" spans="1:12" x14ac:dyDescent="0.3">
      <c r="A457" t="s">
        <v>1305</v>
      </c>
      <c r="B457" t="s">
        <v>301</v>
      </c>
      <c r="C457" t="s">
        <v>1306</v>
      </c>
      <c r="D457" t="s">
        <v>42</v>
      </c>
      <c r="E457" t="s">
        <v>13</v>
      </c>
      <c r="F457" t="s">
        <v>38</v>
      </c>
      <c r="G457" t="s">
        <v>15</v>
      </c>
      <c r="H457">
        <v>6</v>
      </c>
      <c r="I457">
        <v>15000</v>
      </c>
      <c r="J457">
        <v>90000</v>
      </c>
      <c r="K457">
        <v>73800</v>
      </c>
      <c r="L457">
        <v>16200</v>
      </c>
    </row>
    <row r="458" spans="1:12" x14ac:dyDescent="0.3">
      <c r="A458" t="s">
        <v>1307</v>
      </c>
      <c r="B458" t="s">
        <v>304</v>
      </c>
      <c r="C458" t="s">
        <v>1308</v>
      </c>
      <c r="D458" t="s">
        <v>59</v>
      </c>
      <c r="E458" t="s">
        <v>24</v>
      </c>
      <c r="F458" t="s">
        <v>25</v>
      </c>
      <c r="G458" t="s">
        <v>26</v>
      </c>
      <c r="H458">
        <v>3</v>
      </c>
      <c r="I458">
        <v>1500</v>
      </c>
      <c r="J458">
        <v>4500</v>
      </c>
      <c r="K458">
        <v>3690</v>
      </c>
      <c r="L458">
        <v>810</v>
      </c>
    </row>
    <row r="459" spans="1:12" x14ac:dyDescent="0.3">
      <c r="A459" t="s">
        <v>1309</v>
      </c>
      <c r="B459" t="s">
        <v>307</v>
      </c>
      <c r="C459" t="s">
        <v>1310</v>
      </c>
      <c r="D459" t="s">
        <v>30</v>
      </c>
      <c r="E459" t="s">
        <v>13</v>
      </c>
      <c r="F459" t="s">
        <v>14</v>
      </c>
      <c r="G459" t="s">
        <v>19</v>
      </c>
      <c r="H459">
        <v>5</v>
      </c>
      <c r="I459">
        <v>12000</v>
      </c>
      <c r="J459">
        <v>60000</v>
      </c>
      <c r="K459">
        <v>49200</v>
      </c>
      <c r="L459">
        <v>10800</v>
      </c>
    </row>
    <row r="460" spans="1:12" x14ac:dyDescent="0.3">
      <c r="A460" t="s">
        <v>1311</v>
      </c>
      <c r="B460" t="s">
        <v>310</v>
      </c>
      <c r="C460" t="s">
        <v>1312</v>
      </c>
      <c r="D460" t="s">
        <v>23</v>
      </c>
      <c r="E460" t="s">
        <v>24</v>
      </c>
      <c r="F460" t="s">
        <v>25</v>
      </c>
      <c r="G460" t="s">
        <v>26</v>
      </c>
      <c r="H460">
        <v>3</v>
      </c>
      <c r="I460">
        <v>800</v>
      </c>
      <c r="J460">
        <v>2400</v>
      </c>
      <c r="K460">
        <v>1967</v>
      </c>
      <c r="L460">
        <v>433</v>
      </c>
    </row>
    <row r="461" spans="1:12" x14ac:dyDescent="0.3">
      <c r="A461" t="s">
        <v>1313</v>
      </c>
      <c r="B461" t="s">
        <v>313</v>
      </c>
      <c r="C461" t="s">
        <v>1314</v>
      </c>
      <c r="D461" t="s">
        <v>30</v>
      </c>
      <c r="E461" t="s">
        <v>13</v>
      </c>
      <c r="F461" t="s">
        <v>14</v>
      </c>
      <c r="G461" t="s">
        <v>43</v>
      </c>
      <c r="H461">
        <v>4</v>
      </c>
      <c r="I461">
        <v>12000</v>
      </c>
      <c r="J461">
        <v>48000</v>
      </c>
      <c r="K461">
        <v>39360</v>
      </c>
      <c r="L461">
        <v>8640</v>
      </c>
    </row>
    <row r="462" spans="1:12" x14ac:dyDescent="0.3">
      <c r="A462" t="s">
        <v>1315</v>
      </c>
      <c r="B462" t="s">
        <v>316</v>
      </c>
      <c r="C462" t="s">
        <v>1316</v>
      </c>
      <c r="D462" t="s">
        <v>30</v>
      </c>
      <c r="E462" t="s">
        <v>13</v>
      </c>
      <c r="F462" t="s">
        <v>25</v>
      </c>
      <c r="G462" t="s">
        <v>84</v>
      </c>
      <c r="H462">
        <v>2</v>
      </c>
      <c r="I462">
        <v>12000</v>
      </c>
      <c r="J462">
        <v>24000</v>
      </c>
      <c r="K462">
        <v>19680</v>
      </c>
      <c r="L462">
        <v>4320</v>
      </c>
    </row>
    <row r="463" spans="1:12" x14ac:dyDescent="0.3">
      <c r="A463" t="s">
        <v>1317</v>
      </c>
      <c r="B463" t="s">
        <v>319</v>
      </c>
      <c r="C463" t="s">
        <v>1318</v>
      </c>
      <c r="D463" t="s">
        <v>50</v>
      </c>
      <c r="E463" t="s">
        <v>51</v>
      </c>
      <c r="F463" t="s">
        <v>38</v>
      </c>
      <c r="G463" t="s">
        <v>26</v>
      </c>
      <c r="H463">
        <v>3</v>
      </c>
      <c r="I463">
        <v>2200</v>
      </c>
      <c r="J463">
        <v>6600</v>
      </c>
      <c r="K463">
        <v>5412</v>
      </c>
      <c r="L463">
        <v>1188</v>
      </c>
    </row>
    <row r="464" spans="1:12" x14ac:dyDescent="0.3">
      <c r="A464" t="s">
        <v>1319</v>
      </c>
      <c r="B464" t="s">
        <v>322</v>
      </c>
      <c r="C464" t="s">
        <v>1320</v>
      </c>
      <c r="D464" t="s">
        <v>12</v>
      </c>
      <c r="E464" t="s">
        <v>13</v>
      </c>
      <c r="F464" t="s">
        <v>52</v>
      </c>
      <c r="G464" t="s">
        <v>43</v>
      </c>
      <c r="H464">
        <v>8</v>
      </c>
      <c r="I464">
        <v>50000</v>
      </c>
      <c r="J464">
        <v>400000</v>
      </c>
      <c r="K464">
        <v>328000</v>
      </c>
      <c r="L464">
        <v>72000</v>
      </c>
    </row>
    <row r="465" spans="1:12" x14ac:dyDescent="0.3">
      <c r="A465" t="s">
        <v>1321</v>
      </c>
      <c r="B465" t="s">
        <v>325</v>
      </c>
      <c r="C465" t="s">
        <v>1322</v>
      </c>
      <c r="D465" t="s">
        <v>12</v>
      </c>
      <c r="E465" t="s">
        <v>13</v>
      </c>
      <c r="F465" t="s">
        <v>38</v>
      </c>
      <c r="G465" t="s">
        <v>19</v>
      </c>
      <c r="H465">
        <v>2</v>
      </c>
      <c r="I465">
        <v>50000</v>
      </c>
      <c r="J465">
        <v>100000</v>
      </c>
      <c r="K465">
        <v>82000</v>
      </c>
      <c r="L465">
        <v>18000</v>
      </c>
    </row>
    <row r="466" spans="1:12" x14ac:dyDescent="0.3">
      <c r="A466" t="s">
        <v>1323</v>
      </c>
      <c r="B466" t="s">
        <v>328</v>
      </c>
      <c r="C466" t="s">
        <v>1324</v>
      </c>
      <c r="D466" t="s">
        <v>42</v>
      </c>
      <c r="E466" t="s">
        <v>13</v>
      </c>
      <c r="F466" t="s">
        <v>25</v>
      </c>
      <c r="G466" t="s">
        <v>43</v>
      </c>
      <c r="H466">
        <v>3</v>
      </c>
      <c r="I466">
        <v>15000</v>
      </c>
      <c r="J466">
        <v>45000</v>
      </c>
      <c r="K466">
        <v>36900</v>
      </c>
      <c r="L466">
        <v>8100</v>
      </c>
    </row>
    <row r="467" spans="1:12" x14ac:dyDescent="0.3">
      <c r="A467" t="s">
        <v>1325</v>
      </c>
      <c r="B467" t="s">
        <v>331</v>
      </c>
      <c r="C467" t="s">
        <v>1326</v>
      </c>
      <c r="D467" t="s">
        <v>12</v>
      </c>
      <c r="E467" t="s">
        <v>13</v>
      </c>
      <c r="F467" t="s">
        <v>14</v>
      </c>
      <c r="G467" t="s">
        <v>15</v>
      </c>
      <c r="H467">
        <v>2</v>
      </c>
      <c r="I467">
        <v>50000</v>
      </c>
      <c r="J467">
        <v>100000</v>
      </c>
      <c r="K467">
        <v>82000</v>
      </c>
      <c r="L467">
        <v>18000</v>
      </c>
    </row>
    <row r="468" spans="1:12" x14ac:dyDescent="0.3">
      <c r="A468" t="s">
        <v>1327</v>
      </c>
      <c r="B468" t="s">
        <v>334</v>
      </c>
      <c r="C468" t="s">
        <v>1328</v>
      </c>
      <c r="D468" t="s">
        <v>23</v>
      </c>
      <c r="E468" t="s">
        <v>24</v>
      </c>
      <c r="F468" t="s">
        <v>25</v>
      </c>
      <c r="G468" t="s">
        <v>43</v>
      </c>
      <c r="H468">
        <v>9</v>
      </c>
      <c r="I468">
        <v>800</v>
      </c>
      <c r="J468">
        <v>7200</v>
      </c>
      <c r="K468">
        <v>5904</v>
      </c>
      <c r="L468">
        <v>1296</v>
      </c>
    </row>
    <row r="469" spans="1:12" x14ac:dyDescent="0.3">
      <c r="A469" t="s">
        <v>1329</v>
      </c>
      <c r="B469" t="s">
        <v>337</v>
      </c>
      <c r="C469" t="s">
        <v>1330</v>
      </c>
      <c r="D469" t="s">
        <v>34</v>
      </c>
      <c r="E469" t="s">
        <v>24</v>
      </c>
      <c r="F469" t="s">
        <v>25</v>
      </c>
      <c r="G469" t="s">
        <v>15</v>
      </c>
      <c r="H469">
        <v>8</v>
      </c>
      <c r="I469">
        <v>3000</v>
      </c>
      <c r="J469">
        <v>24000</v>
      </c>
      <c r="K469">
        <v>19680</v>
      </c>
      <c r="L469">
        <v>4320</v>
      </c>
    </row>
    <row r="470" spans="1:12" x14ac:dyDescent="0.3">
      <c r="A470" t="s">
        <v>1331</v>
      </c>
      <c r="B470" t="s">
        <v>340</v>
      </c>
      <c r="C470" t="s">
        <v>1332</v>
      </c>
      <c r="D470" t="s">
        <v>106</v>
      </c>
      <c r="E470" t="s">
        <v>107</v>
      </c>
      <c r="F470" t="s">
        <v>52</v>
      </c>
      <c r="G470" t="s">
        <v>19</v>
      </c>
      <c r="H470">
        <v>1</v>
      </c>
      <c r="I470">
        <v>6500</v>
      </c>
      <c r="J470">
        <v>6500</v>
      </c>
      <c r="K470">
        <v>5330</v>
      </c>
      <c r="L470">
        <v>1170</v>
      </c>
    </row>
    <row r="471" spans="1:12" x14ac:dyDescent="0.3">
      <c r="A471" t="s">
        <v>1333</v>
      </c>
      <c r="B471" t="s">
        <v>343</v>
      </c>
      <c r="C471" t="s">
        <v>1334</v>
      </c>
      <c r="D471" t="s">
        <v>23</v>
      </c>
      <c r="E471" t="s">
        <v>24</v>
      </c>
      <c r="F471" t="s">
        <v>38</v>
      </c>
      <c r="G471" t="s">
        <v>84</v>
      </c>
      <c r="H471">
        <v>10</v>
      </c>
      <c r="I471">
        <v>800</v>
      </c>
      <c r="J471">
        <v>8000</v>
      </c>
      <c r="K471">
        <v>6560</v>
      </c>
      <c r="L471">
        <v>1440</v>
      </c>
    </row>
    <row r="472" spans="1:12" x14ac:dyDescent="0.3">
      <c r="A472" t="s">
        <v>1335</v>
      </c>
      <c r="B472" t="s">
        <v>346</v>
      </c>
      <c r="C472" t="s">
        <v>1336</v>
      </c>
      <c r="D472" t="s">
        <v>106</v>
      </c>
      <c r="E472" t="s">
        <v>107</v>
      </c>
      <c r="F472" t="s">
        <v>14</v>
      </c>
      <c r="G472" t="s">
        <v>84</v>
      </c>
      <c r="H472">
        <v>7</v>
      </c>
      <c r="I472">
        <v>6500</v>
      </c>
      <c r="J472">
        <v>45500</v>
      </c>
      <c r="K472">
        <v>37310</v>
      </c>
      <c r="L472">
        <v>8190</v>
      </c>
    </row>
    <row r="473" spans="1:12" x14ac:dyDescent="0.3">
      <c r="A473" t="s">
        <v>1337</v>
      </c>
      <c r="B473" t="s">
        <v>349</v>
      </c>
      <c r="C473" t="s">
        <v>1338</v>
      </c>
      <c r="D473" t="s">
        <v>106</v>
      </c>
      <c r="E473" t="s">
        <v>107</v>
      </c>
      <c r="F473" t="s">
        <v>38</v>
      </c>
      <c r="G473" t="s">
        <v>26</v>
      </c>
      <c r="H473">
        <v>1</v>
      </c>
      <c r="I473">
        <v>6500</v>
      </c>
      <c r="J473">
        <v>6500</v>
      </c>
      <c r="K473">
        <v>5330</v>
      </c>
      <c r="L473">
        <v>1170</v>
      </c>
    </row>
    <row r="474" spans="1:12" x14ac:dyDescent="0.3">
      <c r="A474" t="s">
        <v>1339</v>
      </c>
      <c r="B474" t="s">
        <v>352</v>
      </c>
      <c r="C474" t="s">
        <v>1340</v>
      </c>
      <c r="D474" t="s">
        <v>12</v>
      </c>
      <c r="E474" t="s">
        <v>13</v>
      </c>
      <c r="F474" t="s">
        <v>14</v>
      </c>
      <c r="G474" t="s">
        <v>19</v>
      </c>
      <c r="H474">
        <v>8</v>
      </c>
      <c r="I474">
        <v>50000</v>
      </c>
      <c r="J474">
        <v>400000</v>
      </c>
      <c r="K474">
        <v>328000</v>
      </c>
      <c r="L474">
        <v>72000</v>
      </c>
    </row>
    <row r="475" spans="1:12" x14ac:dyDescent="0.3">
      <c r="A475" t="s">
        <v>1341</v>
      </c>
      <c r="B475" t="s">
        <v>355</v>
      </c>
      <c r="C475" t="s">
        <v>1342</v>
      </c>
      <c r="D475" t="s">
        <v>12</v>
      </c>
      <c r="E475" t="s">
        <v>13</v>
      </c>
      <c r="F475" t="s">
        <v>38</v>
      </c>
      <c r="G475" t="s">
        <v>43</v>
      </c>
      <c r="H475">
        <v>5</v>
      </c>
      <c r="I475">
        <v>50000</v>
      </c>
      <c r="J475">
        <v>250000</v>
      </c>
      <c r="K475">
        <v>205000</v>
      </c>
      <c r="L475">
        <v>45000</v>
      </c>
    </row>
    <row r="476" spans="1:12" x14ac:dyDescent="0.3">
      <c r="A476" t="s">
        <v>1343</v>
      </c>
      <c r="B476" t="s">
        <v>358</v>
      </c>
      <c r="C476" t="s">
        <v>1344</v>
      </c>
      <c r="D476" t="s">
        <v>50</v>
      </c>
      <c r="E476" t="s">
        <v>51</v>
      </c>
      <c r="F476" t="s">
        <v>25</v>
      </c>
      <c r="G476" t="s">
        <v>84</v>
      </c>
      <c r="H476">
        <v>5</v>
      </c>
      <c r="I476">
        <v>2200</v>
      </c>
      <c r="J476">
        <v>11000</v>
      </c>
      <c r="K476">
        <v>9020</v>
      </c>
      <c r="L476">
        <v>1980</v>
      </c>
    </row>
    <row r="477" spans="1:12" x14ac:dyDescent="0.3">
      <c r="A477" t="s">
        <v>1345</v>
      </c>
      <c r="B477" t="s">
        <v>361</v>
      </c>
      <c r="C477" t="s">
        <v>1346</v>
      </c>
      <c r="D477" t="s">
        <v>106</v>
      </c>
      <c r="E477" t="s">
        <v>107</v>
      </c>
      <c r="F477" t="s">
        <v>14</v>
      </c>
      <c r="G477" t="s">
        <v>26</v>
      </c>
      <c r="H477">
        <v>1</v>
      </c>
      <c r="I477">
        <v>6500</v>
      </c>
      <c r="J477">
        <v>6500</v>
      </c>
      <c r="K477">
        <v>5330</v>
      </c>
      <c r="L477">
        <v>1170</v>
      </c>
    </row>
    <row r="478" spans="1:12" x14ac:dyDescent="0.3">
      <c r="A478" t="s">
        <v>1347</v>
      </c>
      <c r="B478" t="s">
        <v>364</v>
      </c>
      <c r="C478" t="s">
        <v>1348</v>
      </c>
      <c r="D478" t="s">
        <v>59</v>
      </c>
      <c r="E478" t="s">
        <v>24</v>
      </c>
      <c r="F478" t="s">
        <v>25</v>
      </c>
      <c r="G478" t="s">
        <v>15</v>
      </c>
      <c r="H478">
        <v>5</v>
      </c>
      <c r="I478">
        <v>1500</v>
      </c>
      <c r="J478">
        <v>7500</v>
      </c>
      <c r="K478">
        <v>6150</v>
      </c>
      <c r="L478">
        <v>1350</v>
      </c>
    </row>
    <row r="479" spans="1:12" x14ac:dyDescent="0.3">
      <c r="A479" t="s">
        <v>1349</v>
      </c>
      <c r="B479" t="s">
        <v>367</v>
      </c>
      <c r="C479" t="s">
        <v>1350</v>
      </c>
      <c r="D479" t="s">
        <v>12</v>
      </c>
      <c r="E479" t="s">
        <v>13</v>
      </c>
      <c r="F479" t="s">
        <v>14</v>
      </c>
      <c r="G479" t="s">
        <v>15</v>
      </c>
      <c r="H479">
        <v>6</v>
      </c>
      <c r="I479">
        <v>50000</v>
      </c>
      <c r="J479">
        <v>300000</v>
      </c>
      <c r="K479">
        <v>245999</v>
      </c>
      <c r="L479">
        <v>54001</v>
      </c>
    </row>
    <row r="480" spans="1:12" x14ac:dyDescent="0.3">
      <c r="A480" t="s">
        <v>1351</v>
      </c>
      <c r="B480" t="s">
        <v>370</v>
      </c>
      <c r="C480" t="s">
        <v>1352</v>
      </c>
      <c r="D480" t="s">
        <v>42</v>
      </c>
      <c r="E480" t="s">
        <v>13</v>
      </c>
      <c r="F480" t="s">
        <v>14</v>
      </c>
      <c r="G480" t="s">
        <v>15</v>
      </c>
      <c r="H480">
        <v>5</v>
      </c>
      <c r="I480">
        <v>15000</v>
      </c>
      <c r="J480">
        <v>75000</v>
      </c>
      <c r="K480">
        <v>61499</v>
      </c>
      <c r="L480">
        <v>13501</v>
      </c>
    </row>
    <row r="481" spans="1:12" x14ac:dyDescent="0.3">
      <c r="A481" t="s">
        <v>1353</v>
      </c>
      <c r="B481" t="s">
        <v>373</v>
      </c>
      <c r="C481" t="s">
        <v>1354</v>
      </c>
      <c r="D481" t="s">
        <v>59</v>
      </c>
      <c r="E481" t="s">
        <v>24</v>
      </c>
      <c r="F481" t="s">
        <v>38</v>
      </c>
      <c r="G481" t="s">
        <v>43</v>
      </c>
      <c r="H481">
        <v>7</v>
      </c>
      <c r="I481">
        <v>1500</v>
      </c>
      <c r="J481">
        <v>10500</v>
      </c>
      <c r="K481">
        <v>8610</v>
      </c>
      <c r="L481">
        <v>1890</v>
      </c>
    </row>
    <row r="482" spans="1:12" x14ac:dyDescent="0.3">
      <c r="A482" t="s">
        <v>1355</v>
      </c>
      <c r="B482" t="s">
        <v>376</v>
      </c>
      <c r="C482" t="s">
        <v>1356</v>
      </c>
      <c r="D482" t="s">
        <v>50</v>
      </c>
      <c r="E482" t="s">
        <v>51</v>
      </c>
      <c r="F482" t="s">
        <v>52</v>
      </c>
      <c r="G482" t="s">
        <v>15</v>
      </c>
      <c r="H482">
        <v>6</v>
      </c>
      <c r="I482">
        <v>2200</v>
      </c>
      <c r="J482">
        <v>13200</v>
      </c>
      <c r="K482">
        <v>10824</v>
      </c>
      <c r="L482">
        <v>2376</v>
      </c>
    </row>
    <row r="483" spans="1:12" x14ac:dyDescent="0.3">
      <c r="A483" t="s">
        <v>1357</v>
      </c>
      <c r="B483" t="s">
        <v>379</v>
      </c>
      <c r="C483" t="s">
        <v>1358</v>
      </c>
      <c r="D483" t="s">
        <v>23</v>
      </c>
      <c r="E483" t="s">
        <v>24</v>
      </c>
      <c r="F483" t="s">
        <v>52</v>
      </c>
      <c r="G483" t="s">
        <v>15</v>
      </c>
      <c r="H483">
        <v>1</v>
      </c>
      <c r="I483">
        <v>800</v>
      </c>
      <c r="J483">
        <v>800</v>
      </c>
      <c r="K483">
        <v>656</v>
      </c>
      <c r="L483">
        <v>144</v>
      </c>
    </row>
    <row r="484" spans="1:12" x14ac:dyDescent="0.3">
      <c r="A484" t="s">
        <v>1359</v>
      </c>
      <c r="B484" t="s">
        <v>382</v>
      </c>
      <c r="C484" t="s">
        <v>1360</v>
      </c>
      <c r="D484" t="s">
        <v>12</v>
      </c>
      <c r="E484" t="s">
        <v>13</v>
      </c>
      <c r="F484" t="s">
        <v>14</v>
      </c>
      <c r="G484" t="s">
        <v>26</v>
      </c>
      <c r="H484">
        <v>9</v>
      </c>
      <c r="I484">
        <v>50000</v>
      </c>
      <c r="J484">
        <v>450000</v>
      </c>
      <c r="K484">
        <v>369000</v>
      </c>
      <c r="L484">
        <v>81000</v>
      </c>
    </row>
    <row r="485" spans="1:12" x14ac:dyDescent="0.3">
      <c r="A485" t="s">
        <v>1361</v>
      </c>
      <c r="B485" t="s">
        <v>385</v>
      </c>
      <c r="C485" t="s">
        <v>1362</v>
      </c>
      <c r="D485" t="s">
        <v>106</v>
      </c>
      <c r="E485" t="s">
        <v>107</v>
      </c>
      <c r="F485" t="s">
        <v>14</v>
      </c>
      <c r="G485" t="s">
        <v>15</v>
      </c>
      <c r="H485">
        <v>2</v>
      </c>
      <c r="I485">
        <v>6500</v>
      </c>
      <c r="J485">
        <v>13000</v>
      </c>
      <c r="K485">
        <v>10660</v>
      </c>
      <c r="L485">
        <v>2340</v>
      </c>
    </row>
    <row r="486" spans="1:12" x14ac:dyDescent="0.3">
      <c r="A486" t="s">
        <v>1363</v>
      </c>
      <c r="B486" t="s">
        <v>388</v>
      </c>
      <c r="C486" t="s">
        <v>1364</v>
      </c>
      <c r="D486" t="s">
        <v>34</v>
      </c>
      <c r="E486" t="s">
        <v>24</v>
      </c>
      <c r="F486" t="s">
        <v>38</v>
      </c>
      <c r="G486" t="s">
        <v>84</v>
      </c>
      <c r="H486">
        <v>9</v>
      </c>
      <c r="I486">
        <v>3000</v>
      </c>
      <c r="J486">
        <v>27000</v>
      </c>
      <c r="K486">
        <v>22140</v>
      </c>
      <c r="L486">
        <v>4860</v>
      </c>
    </row>
    <row r="487" spans="1:12" x14ac:dyDescent="0.3">
      <c r="A487" t="s">
        <v>1365</v>
      </c>
      <c r="B487" t="s">
        <v>391</v>
      </c>
      <c r="C487" t="s">
        <v>1366</v>
      </c>
      <c r="D487" t="s">
        <v>30</v>
      </c>
      <c r="E487" t="s">
        <v>13</v>
      </c>
      <c r="F487" t="s">
        <v>25</v>
      </c>
      <c r="G487" t="s">
        <v>26</v>
      </c>
      <c r="H487">
        <v>3</v>
      </c>
      <c r="I487">
        <v>12000</v>
      </c>
      <c r="J487">
        <v>36000</v>
      </c>
      <c r="K487">
        <v>29520</v>
      </c>
      <c r="L487">
        <v>6480</v>
      </c>
    </row>
    <row r="488" spans="1:12" x14ac:dyDescent="0.3">
      <c r="A488" t="s">
        <v>1367</v>
      </c>
      <c r="B488" t="s">
        <v>394</v>
      </c>
      <c r="C488" t="s">
        <v>1368</v>
      </c>
      <c r="D488" t="s">
        <v>23</v>
      </c>
      <c r="E488" t="s">
        <v>24</v>
      </c>
      <c r="F488" t="s">
        <v>25</v>
      </c>
      <c r="G488" t="s">
        <v>26</v>
      </c>
      <c r="H488">
        <v>5</v>
      </c>
      <c r="I488">
        <v>800</v>
      </c>
      <c r="J488">
        <v>4000</v>
      </c>
      <c r="K488">
        <v>3280</v>
      </c>
      <c r="L488">
        <v>720</v>
      </c>
    </row>
    <row r="489" spans="1:12" x14ac:dyDescent="0.3">
      <c r="A489" t="s">
        <v>1369</v>
      </c>
      <c r="B489" t="s">
        <v>397</v>
      </c>
      <c r="C489" t="s">
        <v>1370</v>
      </c>
      <c r="D489" t="s">
        <v>50</v>
      </c>
      <c r="E489" t="s">
        <v>51</v>
      </c>
      <c r="F489" t="s">
        <v>38</v>
      </c>
      <c r="G489" t="s">
        <v>84</v>
      </c>
      <c r="H489">
        <v>4</v>
      </c>
      <c r="I489">
        <v>2200</v>
      </c>
      <c r="J489">
        <v>8800</v>
      </c>
      <c r="K489">
        <v>7216</v>
      </c>
      <c r="L489">
        <v>1584</v>
      </c>
    </row>
    <row r="490" spans="1:12" x14ac:dyDescent="0.3">
      <c r="A490" t="s">
        <v>1371</v>
      </c>
      <c r="B490" t="s">
        <v>400</v>
      </c>
      <c r="C490" t="s">
        <v>1372</v>
      </c>
      <c r="D490" t="s">
        <v>59</v>
      </c>
      <c r="E490" t="s">
        <v>24</v>
      </c>
      <c r="F490" t="s">
        <v>38</v>
      </c>
      <c r="G490" t="s">
        <v>26</v>
      </c>
      <c r="H490">
        <v>7</v>
      </c>
      <c r="I490">
        <v>1500</v>
      </c>
      <c r="J490">
        <v>10500</v>
      </c>
      <c r="K490">
        <v>8610</v>
      </c>
      <c r="L490">
        <v>1890</v>
      </c>
    </row>
    <row r="491" spans="1:12" x14ac:dyDescent="0.3">
      <c r="A491" t="s">
        <v>1373</v>
      </c>
      <c r="B491" t="s">
        <v>403</v>
      </c>
      <c r="C491" t="s">
        <v>1374</v>
      </c>
      <c r="D491" t="s">
        <v>59</v>
      </c>
      <c r="E491" t="s">
        <v>24</v>
      </c>
      <c r="F491" t="s">
        <v>14</v>
      </c>
      <c r="G491" t="s">
        <v>43</v>
      </c>
      <c r="H491">
        <v>7</v>
      </c>
      <c r="I491">
        <v>1500</v>
      </c>
      <c r="J491">
        <v>10500</v>
      </c>
      <c r="K491">
        <v>8610</v>
      </c>
      <c r="L491">
        <v>1890</v>
      </c>
    </row>
    <row r="492" spans="1:12" x14ac:dyDescent="0.3">
      <c r="A492" t="s">
        <v>1375</v>
      </c>
      <c r="B492" t="s">
        <v>406</v>
      </c>
      <c r="C492" t="s">
        <v>1376</v>
      </c>
      <c r="D492" t="s">
        <v>50</v>
      </c>
      <c r="E492" t="s">
        <v>51</v>
      </c>
      <c r="F492" t="s">
        <v>14</v>
      </c>
      <c r="G492" t="s">
        <v>15</v>
      </c>
      <c r="H492">
        <v>4</v>
      </c>
      <c r="I492">
        <v>2200</v>
      </c>
      <c r="J492">
        <v>8800</v>
      </c>
      <c r="K492">
        <v>7216</v>
      </c>
      <c r="L492">
        <v>1584</v>
      </c>
    </row>
    <row r="493" spans="1:12" x14ac:dyDescent="0.3">
      <c r="A493" t="s">
        <v>1377</v>
      </c>
      <c r="B493" t="s">
        <v>409</v>
      </c>
      <c r="C493" t="s">
        <v>1378</v>
      </c>
      <c r="D493" t="s">
        <v>50</v>
      </c>
      <c r="E493" t="s">
        <v>51</v>
      </c>
      <c r="F493" t="s">
        <v>38</v>
      </c>
      <c r="G493" t="s">
        <v>15</v>
      </c>
      <c r="H493">
        <v>10</v>
      </c>
      <c r="I493">
        <v>2200</v>
      </c>
      <c r="J493">
        <v>22000</v>
      </c>
      <c r="K493">
        <v>18040</v>
      </c>
      <c r="L493">
        <v>3960</v>
      </c>
    </row>
    <row r="494" spans="1:12" x14ac:dyDescent="0.3">
      <c r="A494" t="s">
        <v>1379</v>
      </c>
      <c r="B494" t="s">
        <v>412</v>
      </c>
      <c r="C494" t="s">
        <v>1380</v>
      </c>
      <c r="D494" t="s">
        <v>23</v>
      </c>
      <c r="E494" t="s">
        <v>24</v>
      </c>
      <c r="F494" t="s">
        <v>38</v>
      </c>
      <c r="G494" t="s">
        <v>26</v>
      </c>
      <c r="H494">
        <v>8</v>
      </c>
      <c r="I494">
        <v>800</v>
      </c>
      <c r="J494">
        <v>6400</v>
      </c>
      <c r="K494">
        <v>5248</v>
      </c>
      <c r="L494">
        <v>1152</v>
      </c>
    </row>
    <row r="495" spans="1:12" x14ac:dyDescent="0.3">
      <c r="A495" t="s">
        <v>1381</v>
      </c>
      <c r="B495" t="s">
        <v>415</v>
      </c>
      <c r="C495" t="s">
        <v>1382</v>
      </c>
      <c r="D495" t="s">
        <v>42</v>
      </c>
      <c r="E495" t="s">
        <v>13</v>
      </c>
      <c r="F495" t="s">
        <v>25</v>
      </c>
      <c r="G495" t="s">
        <v>84</v>
      </c>
      <c r="H495">
        <v>2</v>
      </c>
      <c r="I495">
        <v>15000</v>
      </c>
      <c r="J495">
        <v>30000</v>
      </c>
      <c r="K495">
        <v>24600</v>
      </c>
      <c r="L495">
        <v>5400</v>
      </c>
    </row>
    <row r="496" spans="1:12" x14ac:dyDescent="0.3">
      <c r="A496" t="s">
        <v>1383</v>
      </c>
      <c r="B496" t="s">
        <v>418</v>
      </c>
      <c r="C496" t="s">
        <v>1384</v>
      </c>
      <c r="D496" t="s">
        <v>59</v>
      </c>
      <c r="E496" t="s">
        <v>24</v>
      </c>
      <c r="F496" t="s">
        <v>14</v>
      </c>
      <c r="G496" t="s">
        <v>15</v>
      </c>
      <c r="H496">
        <v>10</v>
      </c>
      <c r="I496">
        <v>1500</v>
      </c>
      <c r="J496">
        <v>15000</v>
      </c>
      <c r="K496">
        <v>12300</v>
      </c>
      <c r="L496">
        <v>2700</v>
      </c>
    </row>
    <row r="497" spans="1:12" x14ac:dyDescent="0.3">
      <c r="A497" t="s">
        <v>1385</v>
      </c>
      <c r="B497" t="s">
        <v>421</v>
      </c>
      <c r="C497" t="s">
        <v>1386</v>
      </c>
      <c r="D497" t="s">
        <v>50</v>
      </c>
      <c r="E497" t="s">
        <v>51</v>
      </c>
      <c r="F497" t="s">
        <v>25</v>
      </c>
      <c r="G497" t="s">
        <v>15</v>
      </c>
      <c r="H497">
        <v>3</v>
      </c>
      <c r="I497">
        <v>2200</v>
      </c>
      <c r="J497">
        <v>6600</v>
      </c>
      <c r="K497">
        <v>5412</v>
      </c>
      <c r="L497">
        <v>1188</v>
      </c>
    </row>
    <row r="498" spans="1:12" x14ac:dyDescent="0.3">
      <c r="A498" t="s">
        <v>1387</v>
      </c>
      <c r="B498" t="s">
        <v>424</v>
      </c>
      <c r="C498" t="s">
        <v>1388</v>
      </c>
      <c r="D498" t="s">
        <v>59</v>
      </c>
      <c r="E498" t="s">
        <v>24</v>
      </c>
      <c r="F498" t="s">
        <v>52</v>
      </c>
      <c r="G498" t="s">
        <v>43</v>
      </c>
      <c r="H498">
        <v>1</v>
      </c>
      <c r="I498">
        <v>1500</v>
      </c>
      <c r="J498">
        <v>1500</v>
      </c>
      <c r="K498">
        <v>1230</v>
      </c>
      <c r="L498">
        <v>270</v>
      </c>
    </row>
    <row r="499" spans="1:12" x14ac:dyDescent="0.3">
      <c r="A499" t="s">
        <v>1389</v>
      </c>
      <c r="B499" t="s">
        <v>427</v>
      </c>
      <c r="C499" t="s">
        <v>1390</v>
      </c>
      <c r="D499" t="s">
        <v>50</v>
      </c>
      <c r="E499" t="s">
        <v>51</v>
      </c>
      <c r="F499" t="s">
        <v>25</v>
      </c>
      <c r="G499" t="s">
        <v>84</v>
      </c>
      <c r="H499">
        <v>9</v>
      </c>
      <c r="I499">
        <v>2200</v>
      </c>
      <c r="J499">
        <v>19800</v>
      </c>
      <c r="K499">
        <v>16235</v>
      </c>
      <c r="L499">
        <v>3565</v>
      </c>
    </row>
    <row r="500" spans="1:12" x14ac:dyDescent="0.3">
      <c r="A500" t="s">
        <v>1391</v>
      </c>
      <c r="B500" t="s">
        <v>430</v>
      </c>
      <c r="C500" t="s">
        <v>1392</v>
      </c>
      <c r="D500" t="s">
        <v>59</v>
      </c>
      <c r="E500" t="s">
        <v>24</v>
      </c>
      <c r="F500" t="s">
        <v>38</v>
      </c>
      <c r="G500" t="s">
        <v>84</v>
      </c>
      <c r="H500">
        <v>4</v>
      </c>
      <c r="I500">
        <v>1500</v>
      </c>
      <c r="J500">
        <v>6000</v>
      </c>
      <c r="K500">
        <v>4920</v>
      </c>
      <c r="L500">
        <v>1080</v>
      </c>
    </row>
    <row r="501" spans="1:12" x14ac:dyDescent="0.3">
      <c r="A501" t="s">
        <v>1393</v>
      </c>
      <c r="B501" t="s">
        <v>433</v>
      </c>
      <c r="C501" t="s">
        <v>1394</v>
      </c>
      <c r="D501" t="s">
        <v>23</v>
      </c>
      <c r="E501" t="s">
        <v>24</v>
      </c>
      <c r="F501" t="s">
        <v>52</v>
      </c>
      <c r="G501" t="s">
        <v>15</v>
      </c>
      <c r="H501">
        <v>2</v>
      </c>
      <c r="I501">
        <v>800</v>
      </c>
      <c r="J501">
        <v>1600</v>
      </c>
      <c r="K501">
        <v>1312</v>
      </c>
      <c r="L501">
        <v>288</v>
      </c>
    </row>
    <row r="502" spans="1:12" x14ac:dyDescent="0.3">
      <c r="A502" t="s">
        <v>1395</v>
      </c>
      <c r="B502" t="s">
        <v>436</v>
      </c>
      <c r="C502" t="s">
        <v>1396</v>
      </c>
      <c r="D502" t="s">
        <v>59</v>
      </c>
      <c r="E502" t="s">
        <v>24</v>
      </c>
      <c r="F502" t="s">
        <v>52</v>
      </c>
      <c r="G502" t="s">
        <v>26</v>
      </c>
      <c r="H502">
        <v>4</v>
      </c>
      <c r="I502">
        <v>1500</v>
      </c>
      <c r="J502">
        <v>6000</v>
      </c>
      <c r="K502">
        <v>4920</v>
      </c>
      <c r="L502">
        <v>1080</v>
      </c>
    </row>
    <row r="503" spans="1:12" x14ac:dyDescent="0.3">
      <c r="A503" t="s">
        <v>1397</v>
      </c>
      <c r="B503" t="s">
        <v>439</v>
      </c>
      <c r="C503" t="s">
        <v>1398</v>
      </c>
      <c r="D503" t="s">
        <v>59</v>
      </c>
      <c r="E503" t="s">
        <v>24</v>
      </c>
      <c r="F503" t="s">
        <v>52</v>
      </c>
      <c r="G503" t="s">
        <v>15</v>
      </c>
      <c r="H503">
        <v>3</v>
      </c>
      <c r="I503">
        <v>1500</v>
      </c>
      <c r="J503">
        <v>4500</v>
      </c>
      <c r="K503">
        <v>3690</v>
      </c>
      <c r="L503">
        <v>810</v>
      </c>
    </row>
    <row r="504" spans="1:12" x14ac:dyDescent="0.3">
      <c r="A504" t="s">
        <v>1399</v>
      </c>
      <c r="B504" t="s">
        <v>442</v>
      </c>
      <c r="C504" t="s">
        <v>1400</v>
      </c>
      <c r="D504" t="s">
        <v>12</v>
      </c>
      <c r="E504" t="s">
        <v>13</v>
      </c>
      <c r="F504" t="s">
        <v>38</v>
      </c>
      <c r="G504" t="s">
        <v>15</v>
      </c>
      <c r="H504">
        <v>9</v>
      </c>
      <c r="I504">
        <v>50000</v>
      </c>
      <c r="J504">
        <v>450000</v>
      </c>
      <c r="K504">
        <v>369000</v>
      </c>
      <c r="L504">
        <v>81000</v>
      </c>
    </row>
    <row r="505" spans="1:12" x14ac:dyDescent="0.3">
      <c r="A505" t="s">
        <v>1401</v>
      </c>
      <c r="B505" t="s">
        <v>445</v>
      </c>
      <c r="C505" t="s">
        <v>1402</v>
      </c>
      <c r="D505" t="s">
        <v>50</v>
      </c>
      <c r="E505" t="s">
        <v>51</v>
      </c>
      <c r="F505" t="s">
        <v>25</v>
      </c>
      <c r="G505" t="s">
        <v>19</v>
      </c>
      <c r="H505">
        <v>3</v>
      </c>
      <c r="I505">
        <v>2200</v>
      </c>
      <c r="J505">
        <v>6600</v>
      </c>
      <c r="K505">
        <v>5412</v>
      </c>
      <c r="L505">
        <v>1188</v>
      </c>
    </row>
    <row r="506" spans="1:12" x14ac:dyDescent="0.3">
      <c r="A506" t="s">
        <v>1403</v>
      </c>
      <c r="B506" t="s">
        <v>448</v>
      </c>
      <c r="C506" t="s">
        <v>1404</v>
      </c>
      <c r="D506" t="s">
        <v>50</v>
      </c>
      <c r="E506" t="s">
        <v>51</v>
      </c>
      <c r="F506" t="s">
        <v>38</v>
      </c>
      <c r="G506" t="s">
        <v>43</v>
      </c>
      <c r="H506">
        <v>10</v>
      </c>
      <c r="I506">
        <v>2200</v>
      </c>
      <c r="J506">
        <v>22000</v>
      </c>
      <c r="K506">
        <v>18040</v>
      </c>
      <c r="L506">
        <v>3960</v>
      </c>
    </row>
    <row r="507" spans="1:12" x14ac:dyDescent="0.3">
      <c r="A507" t="s">
        <v>1405</v>
      </c>
      <c r="B507" t="s">
        <v>451</v>
      </c>
      <c r="C507" t="s">
        <v>1406</v>
      </c>
      <c r="D507" t="s">
        <v>23</v>
      </c>
      <c r="E507" t="s">
        <v>24</v>
      </c>
      <c r="F507" t="s">
        <v>52</v>
      </c>
      <c r="G507" t="s">
        <v>26</v>
      </c>
      <c r="H507">
        <v>10</v>
      </c>
      <c r="I507">
        <v>800</v>
      </c>
      <c r="J507">
        <v>8000</v>
      </c>
      <c r="K507">
        <v>6560</v>
      </c>
      <c r="L507">
        <v>1440</v>
      </c>
    </row>
    <row r="508" spans="1:12" x14ac:dyDescent="0.3">
      <c r="A508" t="s">
        <v>1407</v>
      </c>
      <c r="B508" t="s">
        <v>454</v>
      </c>
      <c r="C508" t="s">
        <v>1408</v>
      </c>
      <c r="D508" t="s">
        <v>23</v>
      </c>
      <c r="E508" t="s">
        <v>24</v>
      </c>
      <c r="F508" t="s">
        <v>38</v>
      </c>
      <c r="G508" t="s">
        <v>15</v>
      </c>
      <c r="H508">
        <v>4</v>
      </c>
      <c r="I508">
        <v>800</v>
      </c>
      <c r="J508">
        <v>3200</v>
      </c>
      <c r="K508">
        <v>2624</v>
      </c>
      <c r="L508">
        <v>576</v>
      </c>
    </row>
    <row r="509" spans="1:12" x14ac:dyDescent="0.3">
      <c r="A509" t="s">
        <v>1409</v>
      </c>
      <c r="B509" t="s">
        <v>457</v>
      </c>
      <c r="C509" t="s">
        <v>1410</v>
      </c>
      <c r="D509" t="s">
        <v>34</v>
      </c>
      <c r="E509" t="s">
        <v>24</v>
      </c>
      <c r="F509" t="s">
        <v>25</v>
      </c>
      <c r="G509" t="s">
        <v>26</v>
      </c>
      <c r="H509">
        <v>8</v>
      </c>
      <c r="I509">
        <v>3000</v>
      </c>
      <c r="J509">
        <v>24000</v>
      </c>
      <c r="K509">
        <v>19680</v>
      </c>
      <c r="L509">
        <v>4320</v>
      </c>
    </row>
    <row r="510" spans="1:12" x14ac:dyDescent="0.3">
      <c r="A510" t="s">
        <v>1411</v>
      </c>
      <c r="B510" t="s">
        <v>460</v>
      </c>
      <c r="C510" t="s">
        <v>1412</v>
      </c>
      <c r="D510" t="s">
        <v>34</v>
      </c>
      <c r="E510" t="s">
        <v>24</v>
      </c>
      <c r="F510" t="s">
        <v>14</v>
      </c>
      <c r="G510" t="s">
        <v>19</v>
      </c>
      <c r="H510">
        <v>5</v>
      </c>
      <c r="I510">
        <v>3000</v>
      </c>
      <c r="J510">
        <v>15000</v>
      </c>
      <c r="K510">
        <v>12300</v>
      </c>
      <c r="L510">
        <v>2700</v>
      </c>
    </row>
    <row r="511" spans="1:12" x14ac:dyDescent="0.3">
      <c r="A511" t="s">
        <v>1413</v>
      </c>
      <c r="B511" t="s">
        <v>463</v>
      </c>
      <c r="C511" t="s">
        <v>1414</v>
      </c>
      <c r="D511" t="s">
        <v>42</v>
      </c>
      <c r="E511" t="s">
        <v>13</v>
      </c>
      <c r="F511" t="s">
        <v>14</v>
      </c>
      <c r="G511" t="s">
        <v>19</v>
      </c>
      <c r="H511">
        <v>5</v>
      </c>
      <c r="I511">
        <v>15000</v>
      </c>
      <c r="J511">
        <v>75000</v>
      </c>
      <c r="K511">
        <v>61499</v>
      </c>
      <c r="L511">
        <v>13501</v>
      </c>
    </row>
    <row r="512" spans="1:12" x14ac:dyDescent="0.3">
      <c r="A512" t="s">
        <v>1415</v>
      </c>
      <c r="B512" t="s">
        <v>466</v>
      </c>
      <c r="C512" t="s">
        <v>1416</v>
      </c>
      <c r="D512" t="s">
        <v>23</v>
      </c>
      <c r="E512" t="s">
        <v>24</v>
      </c>
      <c r="F512" t="s">
        <v>25</v>
      </c>
      <c r="G512" t="s">
        <v>15</v>
      </c>
      <c r="H512">
        <v>4</v>
      </c>
      <c r="I512">
        <v>800</v>
      </c>
      <c r="J512">
        <v>3200</v>
      </c>
      <c r="K512">
        <v>2624</v>
      </c>
      <c r="L512">
        <v>576</v>
      </c>
    </row>
    <row r="513" spans="1:12" x14ac:dyDescent="0.3">
      <c r="A513" t="s">
        <v>1417</v>
      </c>
      <c r="B513" t="s">
        <v>469</v>
      </c>
      <c r="C513" t="s">
        <v>1418</v>
      </c>
      <c r="D513" t="s">
        <v>59</v>
      </c>
      <c r="E513" t="s">
        <v>24</v>
      </c>
      <c r="F513" t="s">
        <v>52</v>
      </c>
      <c r="G513" t="s">
        <v>43</v>
      </c>
      <c r="H513">
        <v>5</v>
      </c>
      <c r="I513">
        <v>1500</v>
      </c>
      <c r="J513">
        <v>7500</v>
      </c>
      <c r="K513">
        <v>6150</v>
      </c>
      <c r="L513">
        <v>1350</v>
      </c>
    </row>
    <row r="514" spans="1:12" x14ac:dyDescent="0.3">
      <c r="A514" t="s">
        <v>1419</v>
      </c>
      <c r="B514" t="s">
        <v>472</v>
      </c>
      <c r="C514" t="s">
        <v>1420</v>
      </c>
      <c r="D514" t="s">
        <v>42</v>
      </c>
      <c r="E514" t="s">
        <v>13</v>
      </c>
      <c r="F514" t="s">
        <v>38</v>
      </c>
      <c r="G514" t="s">
        <v>26</v>
      </c>
      <c r="H514">
        <v>9</v>
      </c>
      <c r="I514">
        <v>15000</v>
      </c>
      <c r="J514">
        <v>135000</v>
      </c>
      <c r="K514">
        <v>110700</v>
      </c>
      <c r="L514">
        <v>24300</v>
      </c>
    </row>
    <row r="515" spans="1:12" x14ac:dyDescent="0.3">
      <c r="A515" t="s">
        <v>1421</v>
      </c>
      <c r="B515" t="s">
        <v>475</v>
      </c>
      <c r="C515" t="s">
        <v>1422</v>
      </c>
      <c r="D515" t="s">
        <v>30</v>
      </c>
      <c r="E515" t="s">
        <v>13</v>
      </c>
      <c r="F515" t="s">
        <v>25</v>
      </c>
      <c r="G515" t="s">
        <v>84</v>
      </c>
      <c r="H515">
        <v>7</v>
      </c>
      <c r="I515">
        <v>12000</v>
      </c>
      <c r="J515">
        <v>84000</v>
      </c>
      <c r="K515">
        <v>68880</v>
      </c>
      <c r="L515">
        <v>15120</v>
      </c>
    </row>
    <row r="516" spans="1:12" x14ac:dyDescent="0.3">
      <c r="A516" t="s">
        <v>1423</v>
      </c>
      <c r="B516" t="s">
        <v>478</v>
      </c>
      <c r="C516" t="s">
        <v>1424</v>
      </c>
      <c r="D516" t="s">
        <v>34</v>
      </c>
      <c r="E516" t="s">
        <v>24</v>
      </c>
      <c r="F516" t="s">
        <v>25</v>
      </c>
      <c r="G516" t="s">
        <v>19</v>
      </c>
      <c r="H516">
        <v>10</v>
      </c>
      <c r="I516">
        <v>3000</v>
      </c>
      <c r="J516">
        <v>30000</v>
      </c>
      <c r="K516">
        <v>24600</v>
      </c>
      <c r="L516">
        <v>5400</v>
      </c>
    </row>
    <row r="517" spans="1:12" x14ac:dyDescent="0.3">
      <c r="A517" t="s">
        <v>1425</v>
      </c>
      <c r="B517" t="s">
        <v>481</v>
      </c>
      <c r="C517" t="s">
        <v>1426</v>
      </c>
      <c r="D517" t="s">
        <v>59</v>
      </c>
      <c r="E517" t="s">
        <v>24</v>
      </c>
      <c r="F517" t="s">
        <v>25</v>
      </c>
      <c r="G517" t="s">
        <v>19</v>
      </c>
      <c r="H517">
        <v>3</v>
      </c>
      <c r="I517">
        <v>1500</v>
      </c>
      <c r="J517">
        <v>4500</v>
      </c>
      <c r="K517">
        <v>3690</v>
      </c>
      <c r="L517">
        <v>810</v>
      </c>
    </row>
    <row r="518" spans="1:12" x14ac:dyDescent="0.3">
      <c r="A518" t="s">
        <v>1427</v>
      </c>
      <c r="B518" t="s">
        <v>484</v>
      </c>
      <c r="C518" t="s">
        <v>1428</v>
      </c>
      <c r="D518" t="s">
        <v>23</v>
      </c>
      <c r="E518" t="s">
        <v>24</v>
      </c>
      <c r="F518" t="s">
        <v>52</v>
      </c>
      <c r="G518" t="s">
        <v>19</v>
      </c>
      <c r="H518">
        <v>3</v>
      </c>
      <c r="I518">
        <v>800</v>
      </c>
      <c r="J518">
        <v>2400</v>
      </c>
      <c r="K518">
        <v>1967</v>
      </c>
      <c r="L518">
        <v>433</v>
      </c>
    </row>
    <row r="519" spans="1:12" x14ac:dyDescent="0.3">
      <c r="A519" t="s">
        <v>1429</v>
      </c>
      <c r="B519" t="s">
        <v>487</v>
      </c>
      <c r="C519" t="s">
        <v>1430</v>
      </c>
      <c r="D519" t="s">
        <v>59</v>
      </c>
      <c r="E519" t="s">
        <v>24</v>
      </c>
      <c r="F519" t="s">
        <v>14</v>
      </c>
      <c r="G519" t="s">
        <v>84</v>
      </c>
      <c r="H519">
        <v>7</v>
      </c>
      <c r="I519">
        <v>1500</v>
      </c>
      <c r="J519">
        <v>10500</v>
      </c>
      <c r="K519">
        <v>8610</v>
      </c>
      <c r="L519">
        <v>1890</v>
      </c>
    </row>
    <row r="520" spans="1:12" x14ac:dyDescent="0.3">
      <c r="A520" t="s">
        <v>1431</v>
      </c>
      <c r="B520" t="s">
        <v>490</v>
      </c>
      <c r="C520" t="s">
        <v>1432</v>
      </c>
      <c r="D520" t="s">
        <v>30</v>
      </c>
      <c r="E520" t="s">
        <v>13</v>
      </c>
      <c r="F520" t="s">
        <v>14</v>
      </c>
      <c r="G520" t="s">
        <v>26</v>
      </c>
      <c r="H520">
        <v>7</v>
      </c>
      <c r="I520">
        <v>12000</v>
      </c>
      <c r="J520">
        <v>84000</v>
      </c>
      <c r="K520">
        <v>68880</v>
      </c>
      <c r="L520">
        <v>15120</v>
      </c>
    </row>
    <row r="521" spans="1:12" x14ac:dyDescent="0.3">
      <c r="A521" t="s">
        <v>1433</v>
      </c>
      <c r="B521" t="s">
        <v>493</v>
      </c>
      <c r="C521" t="s">
        <v>1434</v>
      </c>
      <c r="D521" t="s">
        <v>42</v>
      </c>
      <c r="E521" t="s">
        <v>13</v>
      </c>
      <c r="F521" t="s">
        <v>25</v>
      </c>
      <c r="G521" t="s">
        <v>43</v>
      </c>
      <c r="H521">
        <v>5</v>
      </c>
      <c r="I521">
        <v>15000</v>
      </c>
      <c r="J521">
        <v>75000</v>
      </c>
      <c r="K521">
        <v>61499</v>
      </c>
      <c r="L521">
        <v>13501</v>
      </c>
    </row>
    <row r="522" spans="1:12" x14ac:dyDescent="0.3">
      <c r="A522" t="s">
        <v>1435</v>
      </c>
      <c r="B522" t="s">
        <v>496</v>
      </c>
      <c r="C522" t="s">
        <v>1436</v>
      </c>
      <c r="D522" t="s">
        <v>23</v>
      </c>
      <c r="E522" t="s">
        <v>24</v>
      </c>
      <c r="F522" t="s">
        <v>52</v>
      </c>
      <c r="G522" t="s">
        <v>19</v>
      </c>
      <c r="H522">
        <v>8</v>
      </c>
      <c r="I522">
        <v>800</v>
      </c>
      <c r="J522">
        <v>6400</v>
      </c>
      <c r="K522">
        <v>5248</v>
      </c>
      <c r="L522">
        <v>1152</v>
      </c>
    </row>
    <row r="523" spans="1:12" x14ac:dyDescent="0.3">
      <c r="A523" t="s">
        <v>1437</v>
      </c>
      <c r="B523" t="s">
        <v>499</v>
      </c>
      <c r="C523" t="s">
        <v>1438</v>
      </c>
      <c r="D523" t="s">
        <v>106</v>
      </c>
      <c r="E523" t="s">
        <v>107</v>
      </c>
      <c r="F523" t="s">
        <v>52</v>
      </c>
      <c r="G523" t="s">
        <v>26</v>
      </c>
      <c r="H523">
        <v>9</v>
      </c>
      <c r="I523">
        <v>6500</v>
      </c>
      <c r="J523">
        <v>58500</v>
      </c>
      <c r="K523">
        <v>47970</v>
      </c>
      <c r="L523">
        <v>10530</v>
      </c>
    </row>
    <row r="524" spans="1:12" x14ac:dyDescent="0.3">
      <c r="A524" t="s">
        <v>1439</v>
      </c>
      <c r="B524" t="s">
        <v>502</v>
      </c>
      <c r="C524" t="s">
        <v>1440</v>
      </c>
      <c r="D524" t="s">
        <v>30</v>
      </c>
      <c r="E524" t="s">
        <v>13</v>
      </c>
      <c r="F524" t="s">
        <v>52</v>
      </c>
      <c r="G524" t="s">
        <v>19</v>
      </c>
      <c r="H524">
        <v>6</v>
      </c>
      <c r="I524">
        <v>12000</v>
      </c>
      <c r="J524">
        <v>72000</v>
      </c>
      <c r="K524">
        <v>59040</v>
      </c>
      <c r="L524">
        <v>12960</v>
      </c>
    </row>
    <row r="525" spans="1:12" x14ac:dyDescent="0.3">
      <c r="A525" t="s">
        <v>1441</v>
      </c>
      <c r="B525" t="s">
        <v>505</v>
      </c>
      <c r="C525" t="s">
        <v>1442</v>
      </c>
      <c r="D525" t="s">
        <v>50</v>
      </c>
      <c r="E525" t="s">
        <v>51</v>
      </c>
      <c r="F525" t="s">
        <v>14</v>
      </c>
      <c r="G525" t="s">
        <v>26</v>
      </c>
      <c r="H525">
        <v>2</v>
      </c>
      <c r="I525">
        <v>2200</v>
      </c>
      <c r="J525">
        <v>4400</v>
      </c>
      <c r="K525">
        <v>3608</v>
      </c>
      <c r="L525">
        <v>792</v>
      </c>
    </row>
    <row r="526" spans="1:12" x14ac:dyDescent="0.3">
      <c r="A526" t="s">
        <v>1443</v>
      </c>
      <c r="B526" t="s">
        <v>508</v>
      </c>
      <c r="C526" t="s">
        <v>1444</v>
      </c>
      <c r="D526" t="s">
        <v>42</v>
      </c>
      <c r="E526" t="s">
        <v>13</v>
      </c>
      <c r="F526" t="s">
        <v>14</v>
      </c>
      <c r="G526" t="s">
        <v>19</v>
      </c>
      <c r="H526">
        <v>8</v>
      </c>
      <c r="I526">
        <v>15000</v>
      </c>
      <c r="J526">
        <v>120000</v>
      </c>
      <c r="K526">
        <v>98400</v>
      </c>
      <c r="L526">
        <v>21600</v>
      </c>
    </row>
    <row r="527" spans="1:12" x14ac:dyDescent="0.3">
      <c r="A527" t="s">
        <v>1445</v>
      </c>
      <c r="B527" t="s">
        <v>511</v>
      </c>
      <c r="C527" t="s">
        <v>1446</v>
      </c>
      <c r="D527" t="s">
        <v>12</v>
      </c>
      <c r="E527" t="s">
        <v>13</v>
      </c>
      <c r="F527" t="s">
        <v>38</v>
      </c>
      <c r="G527" t="s">
        <v>19</v>
      </c>
      <c r="H527">
        <v>6</v>
      </c>
      <c r="I527">
        <v>50000</v>
      </c>
      <c r="J527">
        <v>300000</v>
      </c>
      <c r="K527">
        <v>245999</v>
      </c>
      <c r="L527">
        <v>54001</v>
      </c>
    </row>
    <row r="528" spans="1:12" x14ac:dyDescent="0.3">
      <c r="A528" t="s">
        <v>1447</v>
      </c>
      <c r="B528" t="s">
        <v>514</v>
      </c>
      <c r="C528" t="s">
        <v>1448</v>
      </c>
      <c r="D528" t="s">
        <v>106</v>
      </c>
      <c r="E528" t="s">
        <v>107</v>
      </c>
      <c r="F528" t="s">
        <v>52</v>
      </c>
      <c r="G528" t="s">
        <v>26</v>
      </c>
      <c r="H528">
        <v>7</v>
      </c>
      <c r="I528">
        <v>6500</v>
      </c>
      <c r="J528">
        <v>45500</v>
      </c>
      <c r="K528">
        <v>37310</v>
      </c>
      <c r="L528">
        <v>8190</v>
      </c>
    </row>
    <row r="529" spans="1:12" x14ac:dyDescent="0.3">
      <c r="A529" t="s">
        <v>1449</v>
      </c>
      <c r="B529" t="s">
        <v>517</v>
      </c>
      <c r="C529" t="s">
        <v>1450</v>
      </c>
      <c r="D529" t="s">
        <v>42</v>
      </c>
      <c r="E529" t="s">
        <v>13</v>
      </c>
      <c r="F529" t="s">
        <v>14</v>
      </c>
      <c r="G529" t="s">
        <v>84</v>
      </c>
      <c r="H529">
        <v>3</v>
      </c>
      <c r="I529">
        <v>15000</v>
      </c>
      <c r="J529">
        <v>45000</v>
      </c>
      <c r="K529">
        <v>36900</v>
      </c>
      <c r="L529">
        <v>8100</v>
      </c>
    </row>
    <row r="530" spans="1:12" x14ac:dyDescent="0.3">
      <c r="A530" t="s">
        <v>1451</v>
      </c>
      <c r="B530" t="s">
        <v>520</v>
      </c>
      <c r="C530" t="s">
        <v>1452</v>
      </c>
      <c r="D530" t="s">
        <v>106</v>
      </c>
      <c r="E530" t="s">
        <v>107</v>
      </c>
      <c r="F530" t="s">
        <v>52</v>
      </c>
      <c r="G530" t="s">
        <v>26</v>
      </c>
      <c r="H530">
        <v>6</v>
      </c>
      <c r="I530">
        <v>6500</v>
      </c>
      <c r="J530">
        <v>39000</v>
      </c>
      <c r="K530">
        <v>31979</v>
      </c>
      <c r="L530">
        <v>7021</v>
      </c>
    </row>
    <row r="531" spans="1:12" x14ac:dyDescent="0.3">
      <c r="A531" t="s">
        <v>1453</v>
      </c>
      <c r="B531" t="s">
        <v>523</v>
      </c>
      <c r="C531" t="s">
        <v>1454</v>
      </c>
      <c r="D531" t="s">
        <v>59</v>
      </c>
      <c r="E531" t="s">
        <v>24</v>
      </c>
      <c r="F531" t="s">
        <v>38</v>
      </c>
      <c r="G531" t="s">
        <v>19</v>
      </c>
      <c r="H531">
        <v>2</v>
      </c>
      <c r="I531">
        <v>1500</v>
      </c>
      <c r="J531">
        <v>3000</v>
      </c>
      <c r="K531">
        <v>2460</v>
      </c>
      <c r="L531">
        <v>540</v>
      </c>
    </row>
    <row r="532" spans="1:12" x14ac:dyDescent="0.3">
      <c r="A532" t="s">
        <v>1455</v>
      </c>
      <c r="B532" t="s">
        <v>526</v>
      </c>
      <c r="C532" t="s">
        <v>1456</v>
      </c>
      <c r="D532" t="s">
        <v>30</v>
      </c>
      <c r="E532" t="s">
        <v>13</v>
      </c>
      <c r="F532" t="s">
        <v>52</v>
      </c>
      <c r="G532" t="s">
        <v>84</v>
      </c>
      <c r="H532">
        <v>4</v>
      </c>
      <c r="I532">
        <v>12000</v>
      </c>
      <c r="J532">
        <v>48000</v>
      </c>
      <c r="K532">
        <v>39360</v>
      </c>
      <c r="L532">
        <v>8640</v>
      </c>
    </row>
    <row r="533" spans="1:12" x14ac:dyDescent="0.3">
      <c r="A533" t="s">
        <v>1457</v>
      </c>
      <c r="B533" t="s">
        <v>529</v>
      </c>
      <c r="C533" t="s">
        <v>1458</v>
      </c>
      <c r="D533" t="s">
        <v>42</v>
      </c>
      <c r="E533" t="s">
        <v>13</v>
      </c>
      <c r="F533" t="s">
        <v>52</v>
      </c>
      <c r="G533" t="s">
        <v>26</v>
      </c>
      <c r="H533">
        <v>9</v>
      </c>
      <c r="I533">
        <v>15000</v>
      </c>
      <c r="J533">
        <v>135000</v>
      </c>
      <c r="K533">
        <v>110700</v>
      </c>
      <c r="L533">
        <v>24300</v>
      </c>
    </row>
    <row r="534" spans="1:12" x14ac:dyDescent="0.3">
      <c r="A534" t="s">
        <v>1459</v>
      </c>
      <c r="B534" t="s">
        <v>532</v>
      </c>
      <c r="C534" t="s">
        <v>1460</v>
      </c>
      <c r="D534" t="s">
        <v>50</v>
      </c>
      <c r="E534" t="s">
        <v>51</v>
      </c>
      <c r="F534" t="s">
        <v>25</v>
      </c>
      <c r="G534" t="s">
        <v>19</v>
      </c>
      <c r="H534">
        <v>9</v>
      </c>
      <c r="I534">
        <v>2200</v>
      </c>
      <c r="J534">
        <v>19800</v>
      </c>
      <c r="K534">
        <v>16235</v>
      </c>
      <c r="L534">
        <v>3565</v>
      </c>
    </row>
    <row r="535" spans="1:12" x14ac:dyDescent="0.3">
      <c r="A535" t="s">
        <v>1461</v>
      </c>
      <c r="B535" t="s">
        <v>535</v>
      </c>
      <c r="C535" t="s">
        <v>1462</v>
      </c>
      <c r="D535" t="s">
        <v>59</v>
      </c>
      <c r="E535" t="s">
        <v>24</v>
      </c>
      <c r="F535" t="s">
        <v>38</v>
      </c>
      <c r="G535" t="s">
        <v>84</v>
      </c>
      <c r="H535">
        <v>5</v>
      </c>
      <c r="I535">
        <v>1500</v>
      </c>
      <c r="J535">
        <v>7500</v>
      </c>
      <c r="K535">
        <v>6150</v>
      </c>
      <c r="L535">
        <v>1350</v>
      </c>
    </row>
    <row r="536" spans="1:12" x14ac:dyDescent="0.3">
      <c r="A536" t="s">
        <v>1463</v>
      </c>
      <c r="B536" t="s">
        <v>538</v>
      </c>
      <c r="C536" t="s">
        <v>1464</v>
      </c>
      <c r="D536" t="s">
        <v>50</v>
      </c>
      <c r="E536" t="s">
        <v>51</v>
      </c>
      <c r="F536" t="s">
        <v>14</v>
      </c>
      <c r="G536" t="s">
        <v>19</v>
      </c>
      <c r="H536">
        <v>3</v>
      </c>
      <c r="I536">
        <v>2200</v>
      </c>
      <c r="J536">
        <v>6600</v>
      </c>
      <c r="K536">
        <v>5412</v>
      </c>
      <c r="L536">
        <v>1188</v>
      </c>
    </row>
    <row r="537" spans="1:12" x14ac:dyDescent="0.3">
      <c r="A537" t="s">
        <v>1465</v>
      </c>
      <c r="B537" t="s">
        <v>541</v>
      </c>
      <c r="C537" t="s">
        <v>1466</v>
      </c>
      <c r="D537" t="s">
        <v>12</v>
      </c>
      <c r="E537" t="s">
        <v>13</v>
      </c>
      <c r="F537" t="s">
        <v>14</v>
      </c>
      <c r="G537" t="s">
        <v>43</v>
      </c>
      <c r="H537">
        <v>10</v>
      </c>
      <c r="I537">
        <v>50000</v>
      </c>
      <c r="J537">
        <v>500000</v>
      </c>
      <c r="K537">
        <v>410000</v>
      </c>
      <c r="L537">
        <v>90000</v>
      </c>
    </row>
    <row r="538" spans="1:12" x14ac:dyDescent="0.3">
      <c r="A538" t="s">
        <v>1467</v>
      </c>
      <c r="B538" t="s">
        <v>544</v>
      </c>
      <c r="C538" t="s">
        <v>1468</v>
      </c>
      <c r="D538" t="s">
        <v>34</v>
      </c>
      <c r="E538" t="s">
        <v>24</v>
      </c>
      <c r="F538" t="s">
        <v>52</v>
      </c>
      <c r="G538" t="s">
        <v>15</v>
      </c>
      <c r="H538">
        <v>6</v>
      </c>
      <c r="I538">
        <v>3000</v>
      </c>
      <c r="J538">
        <v>18000</v>
      </c>
      <c r="K538">
        <v>14760</v>
      </c>
      <c r="L538">
        <v>3240</v>
      </c>
    </row>
    <row r="539" spans="1:12" x14ac:dyDescent="0.3">
      <c r="A539" t="s">
        <v>1469</v>
      </c>
      <c r="B539" t="s">
        <v>547</v>
      </c>
      <c r="C539" t="s">
        <v>1470</v>
      </c>
      <c r="D539" t="s">
        <v>34</v>
      </c>
      <c r="E539" t="s">
        <v>24</v>
      </c>
      <c r="F539" t="s">
        <v>14</v>
      </c>
      <c r="G539" t="s">
        <v>15</v>
      </c>
      <c r="H539">
        <v>6</v>
      </c>
      <c r="I539">
        <v>3000</v>
      </c>
      <c r="J539">
        <v>18000</v>
      </c>
      <c r="K539">
        <v>14760</v>
      </c>
      <c r="L539">
        <v>3240</v>
      </c>
    </row>
    <row r="540" spans="1:12" x14ac:dyDescent="0.3">
      <c r="A540" t="s">
        <v>1471</v>
      </c>
      <c r="B540" t="s">
        <v>550</v>
      </c>
      <c r="C540" t="s">
        <v>1472</v>
      </c>
      <c r="D540" t="s">
        <v>34</v>
      </c>
      <c r="E540" t="s">
        <v>24</v>
      </c>
      <c r="F540" t="s">
        <v>52</v>
      </c>
      <c r="G540" t="s">
        <v>26</v>
      </c>
      <c r="H540">
        <v>8</v>
      </c>
      <c r="I540">
        <v>3000</v>
      </c>
      <c r="J540">
        <v>24000</v>
      </c>
      <c r="K540">
        <v>19680</v>
      </c>
      <c r="L540">
        <v>4320</v>
      </c>
    </row>
    <row r="541" spans="1:12" x14ac:dyDescent="0.3">
      <c r="A541" t="s">
        <v>1473</v>
      </c>
      <c r="B541" t="s">
        <v>553</v>
      </c>
      <c r="C541" t="s">
        <v>1474</v>
      </c>
      <c r="D541" t="s">
        <v>106</v>
      </c>
      <c r="E541" t="s">
        <v>107</v>
      </c>
      <c r="F541" t="s">
        <v>25</v>
      </c>
      <c r="G541" t="s">
        <v>15</v>
      </c>
      <c r="H541">
        <v>8</v>
      </c>
      <c r="I541">
        <v>6500</v>
      </c>
      <c r="J541">
        <v>52000</v>
      </c>
      <c r="K541">
        <v>42640</v>
      </c>
      <c r="L541">
        <v>9360</v>
      </c>
    </row>
    <row r="542" spans="1:12" x14ac:dyDescent="0.3">
      <c r="A542" t="s">
        <v>1475</v>
      </c>
      <c r="B542" t="s">
        <v>556</v>
      </c>
      <c r="C542" t="s">
        <v>1476</v>
      </c>
      <c r="D542" t="s">
        <v>12</v>
      </c>
      <c r="E542" t="s">
        <v>13</v>
      </c>
      <c r="F542" t="s">
        <v>38</v>
      </c>
      <c r="G542" t="s">
        <v>19</v>
      </c>
      <c r="H542">
        <v>8</v>
      </c>
      <c r="I542">
        <v>50000</v>
      </c>
      <c r="J542">
        <v>400000</v>
      </c>
      <c r="K542">
        <v>328000</v>
      </c>
      <c r="L542">
        <v>72000</v>
      </c>
    </row>
    <row r="543" spans="1:12" x14ac:dyDescent="0.3">
      <c r="A543" t="s">
        <v>1477</v>
      </c>
      <c r="B543" t="s">
        <v>559</v>
      </c>
      <c r="C543" t="s">
        <v>1478</v>
      </c>
      <c r="D543" t="s">
        <v>34</v>
      </c>
      <c r="E543" t="s">
        <v>24</v>
      </c>
      <c r="F543" t="s">
        <v>25</v>
      </c>
      <c r="G543" t="s">
        <v>43</v>
      </c>
      <c r="H543">
        <v>10</v>
      </c>
      <c r="I543">
        <v>3000</v>
      </c>
      <c r="J543">
        <v>30000</v>
      </c>
      <c r="K543">
        <v>24600</v>
      </c>
      <c r="L543">
        <v>5400</v>
      </c>
    </row>
    <row r="544" spans="1:12" x14ac:dyDescent="0.3">
      <c r="A544" t="s">
        <v>1479</v>
      </c>
      <c r="B544" t="s">
        <v>562</v>
      </c>
      <c r="C544" t="s">
        <v>1480</v>
      </c>
      <c r="D544" t="s">
        <v>106</v>
      </c>
      <c r="E544" t="s">
        <v>107</v>
      </c>
      <c r="F544" t="s">
        <v>14</v>
      </c>
      <c r="G544" t="s">
        <v>19</v>
      </c>
      <c r="H544">
        <v>2</v>
      </c>
      <c r="I544">
        <v>6500</v>
      </c>
      <c r="J544">
        <v>13000</v>
      </c>
      <c r="K544">
        <v>10660</v>
      </c>
      <c r="L544">
        <v>2340</v>
      </c>
    </row>
    <row r="545" spans="1:12" x14ac:dyDescent="0.3">
      <c r="A545" t="s">
        <v>1481</v>
      </c>
      <c r="B545" t="s">
        <v>565</v>
      </c>
      <c r="C545" t="s">
        <v>1482</v>
      </c>
      <c r="D545" t="s">
        <v>34</v>
      </c>
      <c r="E545" t="s">
        <v>24</v>
      </c>
      <c r="F545" t="s">
        <v>52</v>
      </c>
      <c r="G545" t="s">
        <v>43</v>
      </c>
      <c r="H545">
        <v>2</v>
      </c>
      <c r="I545">
        <v>3000</v>
      </c>
      <c r="J545">
        <v>6000</v>
      </c>
      <c r="K545">
        <v>4920</v>
      </c>
      <c r="L545">
        <v>1080</v>
      </c>
    </row>
    <row r="546" spans="1:12" x14ac:dyDescent="0.3">
      <c r="A546" t="s">
        <v>1483</v>
      </c>
      <c r="B546" t="s">
        <v>568</v>
      </c>
      <c r="C546" t="s">
        <v>1484</v>
      </c>
      <c r="D546" t="s">
        <v>42</v>
      </c>
      <c r="E546" t="s">
        <v>13</v>
      </c>
      <c r="F546" t="s">
        <v>25</v>
      </c>
      <c r="G546" t="s">
        <v>15</v>
      </c>
      <c r="H546">
        <v>3</v>
      </c>
      <c r="I546">
        <v>15000</v>
      </c>
      <c r="J546">
        <v>45000</v>
      </c>
      <c r="K546">
        <v>36900</v>
      </c>
      <c r="L546">
        <v>8100</v>
      </c>
    </row>
    <row r="547" spans="1:12" x14ac:dyDescent="0.3">
      <c r="A547" t="s">
        <v>1485</v>
      </c>
      <c r="B547" t="s">
        <v>571</v>
      </c>
      <c r="C547" t="s">
        <v>1486</v>
      </c>
      <c r="D547" t="s">
        <v>34</v>
      </c>
      <c r="E547" t="s">
        <v>24</v>
      </c>
      <c r="F547" t="s">
        <v>52</v>
      </c>
      <c r="G547" t="s">
        <v>84</v>
      </c>
      <c r="H547">
        <v>6</v>
      </c>
      <c r="I547">
        <v>3000</v>
      </c>
      <c r="J547">
        <v>18000</v>
      </c>
      <c r="K547">
        <v>14760</v>
      </c>
      <c r="L547">
        <v>3240</v>
      </c>
    </row>
    <row r="548" spans="1:12" x14ac:dyDescent="0.3">
      <c r="A548" t="s">
        <v>1487</v>
      </c>
      <c r="B548" t="s">
        <v>574</v>
      </c>
      <c r="C548" t="s">
        <v>1488</v>
      </c>
      <c r="D548" t="s">
        <v>34</v>
      </c>
      <c r="E548" t="s">
        <v>24</v>
      </c>
      <c r="F548" t="s">
        <v>52</v>
      </c>
      <c r="G548" t="s">
        <v>26</v>
      </c>
      <c r="H548">
        <v>4</v>
      </c>
      <c r="I548">
        <v>3000</v>
      </c>
      <c r="J548">
        <v>12000</v>
      </c>
      <c r="K548">
        <v>9840</v>
      </c>
      <c r="L548">
        <v>2160</v>
      </c>
    </row>
    <row r="549" spans="1:12" x14ac:dyDescent="0.3">
      <c r="A549" t="s">
        <v>1489</v>
      </c>
      <c r="B549" t="s">
        <v>577</v>
      </c>
      <c r="C549" t="s">
        <v>1490</v>
      </c>
      <c r="D549" t="s">
        <v>42</v>
      </c>
      <c r="E549" t="s">
        <v>13</v>
      </c>
      <c r="F549" t="s">
        <v>25</v>
      </c>
      <c r="G549" t="s">
        <v>43</v>
      </c>
      <c r="H549">
        <v>4</v>
      </c>
      <c r="I549">
        <v>15000</v>
      </c>
      <c r="J549">
        <v>60000</v>
      </c>
      <c r="K549">
        <v>49200</v>
      </c>
      <c r="L549">
        <v>10800</v>
      </c>
    </row>
    <row r="550" spans="1:12" x14ac:dyDescent="0.3">
      <c r="A550" t="s">
        <v>1491</v>
      </c>
      <c r="B550" t="s">
        <v>580</v>
      </c>
      <c r="C550" t="s">
        <v>1492</v>
      </c>
      <c r="D550" t="s">
        <v>106</v>
      </c>
      <c r="E550" t="s">
        <v>107</v>
      </c>
      <c r="F550" t="s">
        <v>14</v>
      </c>
      <c r="G550" t="s">
        <v>43</v>
      </c>
      <c r="H550">
        <v>3</v>
      </c>
      <c r="I550">
        <v>6500</v>
      </c>
      <c r="J550">
        <v>19500</v>
      </c>
      <c r="K550">
        <v>15989</v>
      </c>
      <c r="L550">
        <v>3511</v>
      </c>
    </row>
    <row r="551" spans="1:12" x14ac:dyDescent="0.3">
      <c r="A551" t="s">
        <v>1493</v>
      </c>
      <c r="B551" t="s">
        <v>583</v>
      </c>
      <c r="C551" t="s">
        <v>1494</v>
      </c>
      <c r="D551" t="s">
        <v>30</v>
      </c>
      <c r="E551" t="s">
        <v>13</v>
      </c>
      <c r="F551" t="s">
        <v>38</v>
      </c>
      <c r="G551" t="s">
        <v>19</v>
      </c>
      <c r="H551">
        <v>7</v>
      </c>
      <c r="I551">
        <v>12000</v>
      </c>
      <c r="J551">
        <v>84000</v>
      </c>
      <c r="K551">
        <v>68880</v>
      </c>
      <c r="L551">
        <v>15120</v>
      </c>
    </row>
    <row r="552" spans="1:12" x14ac:dyDescent="0.3">
      <c r="A552" t="s">
        <v>1495</v>
      </c>
      <c r="B552" t="s">
        <v>586</v>
      </c>
      <c r="C552" t="s">
        <v>1496</v>
      </c>
      <c r="D552" t="s">
        <v>42</v>
      </c>
      <c r="E552" t="s">
        <v>13</v>
      </c>
      <c r="F552" t="s">
        <v>25</v>
      </c>
      <c r="G552" t="s">
        <v>43</v>
      </c>
      <c r="H552">
        <v>7</v>
      </c>
      <c r="I552">
        <v>15000</v>
      </c>
      <c r="J552">
        <v>105000</v>
      </c>
      <c r="K552">
        <v>86100</v>
      </c>
      <c r="L552">
        <v>18900</v>
      </c>
    </row>
    <row r="553" spans="1:12" x14ac:dyDescent="0.3">
      <c r="A553" t="s">
        <v>1497</v>
      </c>
      <c r="B553" t="s">
        <v>589</v>
      </c>
      <c r="C553" t="s">
        <v>1498</v>
      </c>
      <c r="D553" t="s">
        <v>42</v>
      </c>
      <c r="E553" t="s">
        <v>13</v>
      </c>
      <c r="F553" t="s">
        <v>52</v>
      </c>
      <c r="G553" t="s">
        <v>26</v>
      </c>
      <c r="H553">
        <v>1</v>
      </c>
      <c r="I553">
        <v>15000</v>
      </c>
      <c r="J553">
        <v>15000</v>
      </c>
      <c r="K553">
        <v>12300</v>
      </c>
      <c r="L553">
        <v>2700</v>
      </c>
    </row>
    <row r="554" spans="1:12" x14ac:dyDescent="0.3">
      <c r="A554" t="s">
        <v>1499</v>
      </c>
      <c r="B554" t="s">
        <v>592</v>
      </c>
      <c r="C554" t="s">
        <v>1500</v>
      </c>
      <c r="D554" t="s">
        <v>12</v>
      </c>
      <c r="E554" t="s">
        <v>13</v>
      </c>
      <c r="F554" t="s">
        <v>52</v>
      </c>
      <c r="G554" t="s">
        <v>26</v>
      </c>
      <c r="H554">
        <v>8</v>
      </c>
      <c r="I554">
        <v>50000</v>
      </c>
      <c r="J554">
        <v>400000</v>
      </c>
      <c r="K554">
        <v>328000</v>
      </c>
      <c r="L554">
        <v>72000</v>
      </c>
    </row>
    <row r="555" spans="1:12" x14ac:dyDescent="0.3">
      <c r="A555" t="s">
        <v>1501</v>
      </c>
      <c r="B555" t="s">
        <v>595</v>
      </c>
      <c r="C555" t="s">
        <v>1502</v>
      </c>
      <c r="D555" t="s">
        <v>59</v>
      </c>
      <c r="E555" t="s">
        <v>24</v>
      </c>
      <c r="F555" t="s">
        <v>38</v>
      </c>
      <c r="G555" t="s">
        <v>43</v>
      </c>
      <c r="H555">
        <v>10</v>
      </c>
      <c r="I555">
        <v>1500</v>
      </c>
      <c r="J555">
        <v>15000</v>
      </c>
      <c r="K555">
        <v>12300</v>
      </c>
      <c r="L555">
        <v>2700</v>
      </c>
    </row>
    <row r="556" spans="1:12" x14ac:dyDescent="0.3">
      <c r="A556" t="s">
        <v>1503</v>
      </c>
      <c r="B556" t="s">
        <v>598</v>
      </c>
      <c r="C556" t="s">
        <v>1504</v>
      </c>
      <c r="D556" t="s">
        <v>30</v>
      </c>
      <c r="E556" t="s">
        <v>13</v>
      </c>
      <c r="F556" t="s">
        <v>38</v>
      </c>
      <c r="G556" t="s">
        <v>26</v>
      </c>
      <c r="H556">
        <v>2</v>
      </c>
      <c r="I556">
        <v>12000</v>
      </c>
      <c r="J556">
        <v>24000</v>
      </c>
      <c r="K556">
        <v>19680</v>
      </c>
      <c r="L556">
        <v>4320</v>
      </c>
    </row>
    <row r="557" spans="1:12" x14ac:dyDescent="0.3">
      <c r="A557" t="s">
        <v>1505</v>
      </c>
      <c r="B557" t="s">
        <v>601</v>
      </c>
      <c r="C557" t="s">
        <v>1506</v>
      </c>
      <c r="D557" t="s">
        <v>23</v>
      </c>
      <c r="E557" t="s">
        <v>24</v>
      </c>
      <c r="F557" t="s">
        <v>52</v>
      </c>
      <c r="G557" t="s">
        <v>15</v>
      </c>
      <c r="H557">
        <v>4</v>
      </c>
      <c r="I557">
        <v>800</v>
      </c>
      <c r="J557">
        <v>3200</v>
      </c>
      <c r="K557">
        <v>2624</v>
      </c>
      <c r="L557">
        <v>576</v>
      </c>
    </row>
    <row r="558" spans="1:12" x14ac:dyDescent="0.3">
      <c r="A558" t="s">
        <v>1507</v>
      </c>
      <c r="B558" t="s">
        <v>604</v>
      </c>
      <c r="C558" t="s">
        <v>1508</v>
      </c>
      <c r="D558" t="s">
        <v>42</v>
      </c>
      <c r="E558" t="s">
        <v>13</v>
      </c>
      <c r="F558" t="s">
        <v>38</v>
      </c>
      <c r="G558" t="s">
        <v>15</v>
      </c>
      <c r="H558">
        <v>6</v>
      </c>
      <c r="I558">
        <v>15000</v>
      </c>
      <c r="J558">
        <v>90000</v>
      </c>
      <c r="K558">
        <v>73800</v>
      </c>
      <c r="L558">
        <v>16200</v>
      </c>
    </row>
    <row r="559" spans="1:12" x14ac:dyDescent="0.3">
      <c r="A559" t="s">
        <v>1509</v>
      </c>
      <c r="B559" t="s">
        <v>607</v>
      </c>
      <c r="C559" t="s">
        <v>1510</v>
      </c>
      <c r="D559" t="s">
        <v>42</v>
      </c>
      <c r="E559" t="s">
        <v>13</v>
      </c>
      <c r="F559" t="s">
        <v>52</v>
      </c>
      <c r="G559" t="s">
        <v>84</v>
      </c>
      <c r="H559">
        <v>9</v>
      </c>
      <c r="I559">
        <v>15000</v>
      </c>
      <c r="J559">
        <v>135000</v>
      </c>
      <c r="K559">
        <v>110700</v>
      </c>
      <c r="L559">
        <v>24300</v>
      </c>
    </row>
    <row r="560" spans="1:12" x14ac:dyDescent="0.3">
      <c r="A560" t="s">
        <v>1511</v>
      </c>
      <c r="B560" t="s">
        <v>610</v>
      </c>
      <c r="C560" t="s">
        <v>1512</v>
      </c>
      <c r="D560" t="s">
        <v>42</v>
      </c>
      <c r="E560" t="s">
        <v>13</v>
      </c>
      <c r="F560" t="s">
        <v>38</v>
      </c>
      <c r="G560" t="s">
        <v>84</v>
      </c>
      <c r="H560">
        <v>5</v>
      </c>
      <c r="I560">
        <v>15000</v>
      </c>
      <c r="J560">
        <v>75000</v>
      </c>
      <c r="K560">
        <v>61499</v>
      </c>
      <c r="L560">
        <v>13501</v>
      </c>
    </row>
    <row r="561" spans="1:12" x14ac:dyDescent="0.3">
      <c r="A561" t="s">
        <v>1513</v>
      </c>
      <c r="B561" t="s">
        <v>613</v>
      </c>
      <c r="C561" t="s">
        <v>1514</v>
      </c>
      <c r="D561" t="s">
        <v>30</v>
      </c>
      <c r="E561" t="s">
        <v>13</v>
      </c>
      <c r="F561" t="s">
        <v>38</v>
      </c>
      <c r="G561" t="s">
        <v>26</v>
      </c>
      <c r="H561">
        <v>10</v>
      </c>
      <c r="I561">
        <v>12000</v>
      </c>
      <c r="J561">
        <v>120000</v>
      </c>
      <c r="K561">
        <v>98400</v>
      </c>
      <c r="L561">
        <v>21600</v>
      </c>
    </row>
    <row r="562" spans="1:12" x14ac:dyDescent="0.3">
      <c r="A562" t="s">
        <v>1515</v>
      </c>
      <c r="B562" t="s">
        <v>616</v>
      </c>
      <c r="C562" t="s">
        <v>1516</v>
      </c>
      <c r="D562" t="s">
        <v>59</v>
      </c>
      <c r="E562" t="s">
        <v>24</v>
      </c>
      <c r="F562" t="s">
        <v>52</v>
      </c>
      <c r="G562" t="s">
        <v>43</v>
      </c>
      <c r="H562">
        <v>2</v>
      </c>
      <c r="I562">
        <v>1500</v>
      </c>
      <c r="J562">
        <v>3000</v>
      </c>
      <c r="K562">
        <v>2460</v>
      </c>
      <c r="L562">
        <v>540</v>
      </c>
    </row>
    <row r="563" spans="1:12" x14ac:dyDescent="0.3">
      <c r="A563" t="s">
        <v>1517</v>
      </c>
      <c r="B563" t="s">
        <v>619</v>
      </c>
      <c r="C563" t="s">
        <v>1518</v>
      </c>
      <c r="D563" t="s">
        <v>50</v>
      </c>
      <c r="E563" t="s">
        <v>51</v>
      </c>
      <c r="F563" t="s">
        <v>25</v>
      </c>
      <c r="G563" t="s">
        <v>15</v>
      </c>
      <c r="H563">
        <v>3</v>
      </c>
      <c r="I563">
        <v>2200</v>
      </c>
      <c r="J563">
        <v>6600</v>
      </c>
      <c r="K563">
        <v>5412</v>
      </c>
      <c r="L563">
        <v>1188</v>
      </c>
    </row>
    <row r="564" spans="1:12" x14ac:dyDescent="0.3">
      <c r="A564" t="s">
        <v>1519</v>
      </c>
      <c r="B564" t="s">
        <v>622</v>
      </c>
      <c r="C564" t="s">
        <v>1520</v>
      </c>
      <c r="D564" t="s">
        <v>42</v>
      </c>
      <c r="E564" t="s">
        <v>13</v>
      </c>
      <c r="F564" t="s">
        <v>25</v>
      </c>
      <c r="G564" t="s">
        <v>19</v>
      </c>
      <c r="H564">
        <v>6</v>
      </c>
      <c r="I564">
        <v>15000</v>
      </c>
      <c r="J564">
        <v>90000</v>
      </c>
      <c r="K564">
        <v>73800</v>
      </c>
      <c r="L564">
        <v>16200</v>
      </c>
    </row>
    <row r="565" spans="1:12" x14ac:dyDescent="0.3">
      <c r="A565" t="s">
        <v>1521</v>
      </c>
      <c r="B565" t="s">
        <v>625</v>
      </c>
      <c r="C565" t="s">
        <v>1522</v>
      </c>
      <c r="D565" t="s">
        <v>30</v>
      </c>
      <c r="E565" t="s">
        <v>13</v>
      </c>
      <c r="F565" t="s">
        <v>14</v>
      </c>
      <c r="G565" t="s">
        <v>15</v>
      </c>
      <c r="H565">
        <v>4</v>
      </c>
      <c r="I565">
        <v>12000</v>
      </c>
      <c r="J565">
        <v>48000</v>
      </c>
      <c r="K565">
        <v>39360</v>
      </c>
      <c r="L565">
        <v>8640</v>
      </c>
    </row>
    <row r="566" spans="1:12" x14ac:dyDescent="0.3">
      <c r="A566" t="s">
        <v>1523</v>
      </c>
      <c r="B566" t="s">
        <v>628</v>
      </c>
      <c r="C566" t="s">
        <v>1524</v>
      </c>
      <c r="D566" t="s">
        <v>30</v>
      </c>
      <c r="E566" t="s">
        <v>13</v>
      </c>
      <c r="F566" t="s">
        <v>14</v>
      </c>
      <c r="G566" t="s">
        <v>19</v>
      </c>
      <c r="H566">
        <v>4</v>
      </c>
      <c r="I566">
        <v>12000</v>
      </c>
      <c r="J566">
        <v>48000</v>
      </c>
      <c r="K566">
        <v>39360</v>
      </c>
      <c r="L566">
        <v>8640</v>
      </c>
    </row>
    <row r="567" spans="1:12" x14ac:dyDescent="0.3">
      <c r="A567" t="s">
        <v>1525</v>
      </c>
      <c r="B567" t="s">
        <v>631</v>
      </c>
      <c r="C567" t="s">
        <v>1526</v>
      </c>
      <c r="D567" t="s">
        <v>59</v>
      </c>
      <c r="E567" t="s">
        <v>24</v>
      </c>
      <c r="F567" t="s">
        <v>14</v>
      </c>
      <c r="G567" t="s">
        <v>43</v>
      </c>
      <c r="H567">
        <v>5</v>
      </c>
      <c r="I567">
        <v>1500</v>
      </c>
      <c r="J567">
        <v>7500</v>
      </c>
      <c r="K567">
        <v>6150</v>
      </c>
      <c r="L567">
        <v>1350</v>
      </c>
    </row>
    <row r="568" spans="1:12" x14ac:dyDescent="0.3">
      <c r="A568" t="s">
        <v>1527</v>
      </c>
      <c r="B568" t="s">
        <v>634</v>
      </c>
      <c r="C568" t="s">
        <v>1528</v>
      </c>
      <c r="D568" t="s">
        <v>59</v>
      </c>
      <c r="E568" t="s">
        <v>24</v>
      </c>
      <c r="F568" t="s">
        <v>38</v>
      </c>
      <c r="G568" t="s">
        <v>84</v>
      </c>
      <c r="H568">
        <v>7</v>
      </c>
      <c r="I568">
        <v>1500</v>
      </c>
      <c r="J568">
        <v>10500</v>
      </c>
      <c r="K568">
        <v>8610</v>
      </c>
      <c r="L568">
        <v>1890</v>
      </c>
    </row>
    <row r="569" spans="1:12" x14ac:dyDescent="0.3">
      <c r="A569" t="s">
        <v>1529</v>
      </c>
      <c r="B569" t="s">
        <v>637</v>
      </c>
      <c r="C569" t="s">
        <v>1530</v>
      </c>
      <c r="D569" t="s">
        <v>50</v>
      </c>
      <c r="E569" t="s">
        <v>51</v>
      </c>
      <c r="F569" t="s">
        <v>38</v>
      </c>
      <c r="G569" t="s">
        <v>26</v>
      </c>
      <c r="H569">
        <v>7</v>
      </c>
      <c r="I569">
        <v>2200</v>
      </c>
      <c r="J569">
        <v>15400</v>
      </c>
      <c r="K569">
        <v>12628</v>
      </c>
      <c r="L569">
        <v>2772</v>
      </c>
    </row>
    <row r="570" spans="1:12" x14ac:dyDescent="0.3">
      <c r="A570" t="s">
        <v>1531</v>
      </c>
      <c r="B570" t="s">
        <v>640</v>
      </c>
      <c r="C570" t="s">
        <v>1532</v>
      </c>
      <c r="D570" t="s">
        <v>34</v>
      </c>
      <c r="E570" t="s">
        <v>24</v>
      </c>
      <c r="F570" t="s">
        <v>38</v>
      </c>
      <c r="G570" t="s">
        <v>43</v>
      </c>
      <c r="H570">
        <v>4</v>
      </c>
      <c r="I570">
        <v>3000</v>
      </c>
      <c r="J570">
        <v>12000</v>
      </c>
      <c r="K570">
        <v>9840</v>
      </c>
      <c r="L570">
        <v>2160</v>
      </c>
    </row>
    <row r="571" spans="1:12" x14ac:dyDescent="0.3">
      <c r="A571" t="s">
        <v>1533</v>
      </c>
      <c r="B571" t="s">
        <v>643</v>
      </c>
      <c r="C571" t="s">
        <v>1534</v>
      </c>
      <c r="D571" t="s">
        <v>30</v>
      </c>
      <c r="E571" t="s">
        <v>13</v>
      </c>
      <c r="F571" t="s">
        <v>52</v>
      </c>
      <c r="G571" t="s">
        <v>19</v>
      </c>
      <c r="H571">
        <v>6</v>
      </c>
      <c r="I571">
        <v>12000</v>
      </c>
      <c r="J571">
        <v>72000</v>
      </c>
      <c r="K571">
        <v>59040</v>
      </c>
      <c r="L571">
        <v>12960</v>
      </c>
    </row>
    <row r="572" spans="1:12" x14ac:dyDescent="0.3">
      <c r="A572" t="s">
        <v>1535</v>
      </c>
      <c r="B572" t="s">
        <v>646</v>
      </c>
      <c r="C572" t="s">
        <v>1536</v>
      </c>
      <c r="D572" t="s">
        <v>59</v>
      </c>
      <c r="E572" t="s">
        <v>24</v>
      </c>
      <c r="F572" t="s">
        <v>25</v>
      </c>
      <c r="G572" t="s">
        <v>19</v>
      </c>
      <c r="H572">
        <v>6</v>
      </c>
      <c r="I572">
        <v>1500</v>
      </c>
      <c r="J572">
        <v>9000</v>
      </c>
      <c r="K572">
        <v>7380</v>
      </c>
      <c r="L572">
        <v>1620</v>
      </c>
    </row>
    <row r="573" spans="1:12" x14ac:dyDescent="0.3">
      <c r="A573" t="s">
        <v>1537</v>
      </c>
      <c r="B573" t="s">
        <v>649</v>
      </c>
      <c r="C573" t="s">
        <v>1538</v>
      </c>
      <c r="D573" t="s">
        <v>23</v>
      </c>
      <c r="E573" t="s">
        <v>24</v>
      </c>
      <c r="F573" t="s">
        <v>38</v>
      </c>
      <c r="G573" t="s">
        <v>84</v>
      </c>
      <c r="H573">
        <v>1</v>
      </c>
      <c r="I573">
        <v>800</v>
      </c>
      <c r="J573">
        <v>800</v>
      </c>
      <c r="K573">
        <v>656</v>
      </c>
      <c r="L573">
        <v>144</v>
      </c>
    </row>
    <row r="574" spans="1:12" x14ac:dyDescent="0.3">
      <c r="A574" t="s">
        <v>1539</v>
      </c>
      <c r="B574" t="s">
        <v>652</v>
      </c>
      <c r="C574" t="s">
        <v>1540</v>
      </c>
      <c r="D574" t="s">
        <v>106</v>
      </c>
      <c r="E574" t="s">
        <v>107</v>
      </c>
      <c r="F574" t="s">
        <v>25</v>
      </c>
      <c r="G574" t="s">
        <v>15</v>
      </c>
      <c r="H574">
        <v>7</v>
      </c>
      <c r="I574">
        <v>6500</v>
      </c>
      <c r="J574">
        <v>45500</v>
      </c>
      <c r="K574">
        <v>37310</v>
      </c>
      <c r="L574">
        <v>8190</v>
      </c>
    </row>
    <row r="575" spans="1:12" x14ac:dyDescent="0.3">
      <c r="A575" t="s">
        <v>1541</v>
      </c>
      <c r="B575" t="s">
        <v>655</v>
      </c>
      <c r="C575" t="s">
        <v>1542</v>
      </c>
      <c r="D575" t="s">
        <v>23</v>
      </c>
      <c r="E575" t="s">
        <v>24</v>
      </c>
      <c r="F575" t="s">
        <v>52</v>
      </c>
      <c r="G575" t="s">
        <v>84</v>
      </c>
      <c r="H575">
        <v>7</v>
      </c>
      <c r="I575">
        <v>800</v>
      </c>
      <c r="J575">
        <v>5600</v>
      </c>
      <c r="K575">
        <v>4592</v>
      </c>
      <c r="L575">
        <v>1008</v>
      </c>
    </row>
    <row r="576" spans="1:12" x14ac:dyDescent="0.3">
      <c r="A576" t="s">
        <v>1543</v>
      </c>
      <c r="B576" t="s">
        <v>658</v>
      </c>
      <c r="C576" t="s">
        <v>1544</v>
      </c>
      <c r="D576" t="s">
        <v>106</v>
      </c>
      <c r="E576" t="s">
        <v>107</v>
      </c>
      <c r="F576" t="s">
        <v>38</v>
      </c>
      <c r="G576" t="s">
        <v>15</v>
      </c>
      <c r="H576">
        <v>10</v>
      </c>
      <c r="I576">
        <v>6500</v>
      </c>
      <c r="J576">
        <v>65000</v>
      </c>
      <c r="K576">
        <v>53300</v>
      </c>
      <c r="L576">
        <v>11700</v>
      </c>
    </row>
    <row r="577" spans="1:12" x14ac:dyDescent="0.3">
      <c r="A577" t="s">
        <v>1545</v>
      </c>
      <c r="B577" t="s">
        <v>661</v>
      </c>
      <c r="C577" t="s">
        <v>1546</v>
      </c>
      <c r="D577" t="s">
        <v>30</v>
      </c>
      <c r="E577" t="s">
        <v>13</v>
      </c>
      <c r="F577" t="s">
        <v>52</v>
      </c>
      <c r="G577" t="s">
        <v>26</v>
      </c>
      <c r="H577">
        <v>5</v>
      </c>
      <c r="I577">
        <v>12000</v>
      </c>
      <c r="J577">
        <v>60000</v>
      </c>
      <c r="K577">
        <v>49200</v>
      </c>
      <c r="L577">
        <v>10800</v>
      </c>
    </row>
    <row r="578" spans="1:12" x14ac:dyDescent="0.3">
      <c r="A578" t="s">
        <v>1547</v>
      </c>
      <c r="B578" t="s">
        <v>664</v>
      </c>
      <c r="C578" t="s">
        <v>1548</v>
      </c>
      <c r="D578" t="s">
        <v>34</v>
      </c>
      <c r="E578" t="s">
        <v>24</v>
      </c>
      <c r="F578" t="s">
        <v>14</v>
      </c>
      <c r="G578" t="s">
        <v>84</v>
      </c>
      <c r="H578">
        <v>7</v>
      </c>
      <c r="I578">
        <v>3000</v>
      </c>
      <c r="J578">
        <v>21000</v>
      </c>
      <c r="K578">
        <v>17220</v>
      </c>
      <c r="L578">
        <v>3780</v>
      </c>
    </row>
    <row r="579" spans="1:12" x14ac:dyDescent="0.3">
      <c r="A579" t="s">
        <v>1549</v>
      </c>
      <c r="B579" t="s">
        <v>667</v>
      </c>
      <c r="C579" t="s">
        <v>1550</v>
      </c>
      <c r="D579" t="s">
        <v>23</v>
      </c>
      <c r="E579" t="s">
        <v>24</v>
      </c>
      <c r="F579" t="s">
        <v>38</v>
      </c>
      <c r="G579" t="s">
        <v>84</v>
      </c>
      <c r="H579">
        <v>8</v>
      </c>
      <c r="I579">
        <v>800</v>
      </c>
      <c r="J579">
        <v>6400</v>
      </c>
      <c r="K579">
        <v>5248</v>
      </c>
      <c r="L579">
        <v>1152</v>
      </c>
    </row>
    <row r="580" spans="1:12" x14ac:dyDescent="0.3">
      <c r="A580" t="s">
        <v>1551</v>
      </c>
      <c r="B580" t="s">
        <v>670</v>
      </c>
      <c r="C580" t="s">
        <v>1552</v>
      </c>
      <c r="D580" t="s">
        <v>12</v>
      </c>
      <c r="E580" t="s">
        <v>13</v>
      </c>
      <c r="F580" t="s">
        <v>52</v>
      </c>
      <c r="G580" t="s">
        <v>26</v>
      </c>
      <c r="H580">
        <v>6</v>
      </c>
      <c r="I580">
        <v>50000</v>
      </c>
      <c r="J580">
        <v>300000</v>
      </c>
      <c r="K580">
        <v>245999</v>
      </c>
      <c r="L580">
        <v>54001</v>
      </c>
    </row>
    <row r="581" spans="1:12" x14ac:dyDescent="0.3">
      <c r="A581" t="s">
        <v>1553</v>
      </c>
      <c r="B581" t="s">
        <v>673</v>
      </c>
      <c r="C581" t="s">
        <v>1554</v>
      </c>
      <c r="D581" t="s">
        <v>23</v>
      </c>
      <c r="E581" t="s">
        <v>24</v>
      </c>
      <c r="F581" t="s">
        <v>14</v>
      </c>
      <c r="G581" t="s">
        <v>84</v>
      </c>
      <c r="H581">
        <v>5</v>
      </c>
      <c r="I581">
        <v>800</v>
      </c>
      <c r="J581">
        <v>4000</v>
      </c>
      <c r="K581">
        <v>3280</v>
      </c>
      <c r="L581">
        <v>720</v>
      </c>
    </row>
    <row r="582" spans="1:12" x14ac:dyDescent="0.3">
      <c r="A582" t="s">
        <v>1555</v>
      </c>
      <c r="B582" t="s">
        <v>676</v>
      </c>
      <c r="C582" t="s">
        <v>1556</v>
      </c>
      <c r="D582" t="s">
        <v>42</v>
      </c>
      <c r="E582" t="s">
        <v>13</v>
      </c>
      <c r="F582" t="s">
        <v>52</v>
      </c>
      <c r="G582" t="s">
        <v>19</v>
      </c>
      <c r="H582">
        <v>10</v>
      </c>
      <c r="I582">
        <v>15000</v>
      </c>
      <c r="J582">
        <v>150000</v>
      </c>
      <c r="K582">
        <v>122999</v>
      </c>
      <c r="L582">
        <v>27001</v>
      </c>
    </row>
    <row r="583" spans="1:12" x14ac:dyDescent="0.3">
      <c r="A583" t="s">
        <v>1557</v>
      </c>
      <c r="B583" t="s">
        <v>679</v>
      </c>
      <c r="C583" t="s">
        <v>1558</v>
      </c>
      <c r="D583" t="s">
        <v>50</v>
      </c>
      <c r="E583" t="s">
        <v>51</v>
      </c>
      <c r="F583" t="s">
        <v>25</v>
      </c>
      <c r="G583" t="s">
        <v>84</v>
      </c>
      <c r="H583">
        <v>3</v>
      </c>
      <c r="I583">
        <v>2200</v>
      </c>
      <c r="J583">
        <v>6600</v>
      </c>
      <c r="K583">
        <v>5412</v>
      </c>
      <c r="L583">
        <v>1188</v>
      </c>
    </row>
    <row r="584" spans="1:12" x14ac:dyDescent="0.3">
      <c r="A584" t="s">
        <v>1559</v>
      </c>
      <c r="B584" t="s">
        <v>682</v>
      </c>
      <c r="C584" t="s">
        <v>1560</v>
      </c>
      <c r="D584" t="s">
        <v>12</v>
      </c>
      <c r="E584" t="s">
        <v>13</v>
      </c>
      <c r="F584" t="s">
        <v>14</v>
      </c>
      <c r="G584" t="s">
        <v>84</v>
      </c>
      <c r="H584">
        <v>10</v>
      </c>
      <c r="I584">
        <v>50000</v>
      </c>
      <c r="J584">
        <v>500000</v>
      </c>
      <c r="K584">
        <v>410000</v>
      </c>
      <c r="L584">
        <v>90000</v>
      </c>
    </row>
    <row r="585" spans="1:12" x14ac:dyDescent="0.3">
      <c r="A585" t="s">
        <v>1561</v>
      </c>
      <c r="B585" t="s">
        <v>685</v>
      </c>
      <c r="C585" t="s">
        <v>1562</v>
      </c>
      <c r="D585" t="s">
        <v>23</v>
      </c>
      <c r="E585" t="s">
        <v>24</v>
      </c>
      <c r="F585" t="s">
        <v>14</v>
      </c>
      <c r="G585" t="s">
        <v>43</v>
      </c>
      <c r="H585">
        <v>9</v>
      </c>
      <c r="I585">
        <v>800</v>
      </c>
      <c r="J585">
        <v>7200</v>
      </c>
      <c r="K585">
        <v>5904</v>
      </c>
      <c r="L585">
        <v>1296</v>
      </c>
    </row>
    <row r="586" spans="1:12" x14ac:dyDescent="0.3">
      <c r="A586" t="s">
        <v>1563</v>
      </c>
      <c r="B586" t="s">
        <v>688</v>
      </c>
      <c r="C586" t="s">
        <v>1564</v>
      </c>
      <c r="D586" t="s">
        <v>12</v>
      </c>
      <c r="E586" t="s">
        <v>13</v>
      </c>
      <c r="F586" t="s">
        <v>14</v>
      </c>
      <c r="G586" t="s">
        <v>26</v>
      </c>
      <c r="H586">
        <v>4</v>
      </c>
      <c r="I586">
        <v>50000</v>
      </c>
      <c r="J586">
        <v>200000</v>
      </c>
      <c r="K586">
        <v>164000</v>
      </c>
      <c r="L586">
        <v>36000</v>
      </c>
    </row>
    <row r="587" spans="1:12" x14ac:dyDescent="0.3">
      <c r="A587" t="s">
        <v>1565</v>
      </c>
      <c r="B587" t="s">
        <v>691</v>
      </c>
      <c r="C587" t="s">
        <v>1566</v>
      </c>
      <c r="D587" t="s">
        <v>106</v>
      </c>
      <c r="E587" t="s">
        <v>107</v>
      </c>
      <c r="F587" t="s">
        <v>38</v>
      </c>
      <c r="G587" t="s">
        <v>19</v>
      </c>
      <c r="H587">
        <v>6</v>
      </c>
      <c r="I587">
        <v>6500</v>
      </c>
      <c r="J587">
        <v>39000</v>
      </c>
      <c r="K587">
        <v>31979</v>
      </c>
      <c r="L587">
        <v>7021</v>
      </c>
    </row>
    <row r="588" spans="1:12" x14ac:dyDescent="0.3">
      <c r="A588" t="s">
        <v>1567</v>
      </c>
      <c r="B588" t="s">
        <v>694</v>
      </c>
      <c r="C588" t="s">
        <v>1568</v>
      </c>
      <c r="D588" t="s">
        <v>30</v>
      </c>
      <c r="E588" t="s">
        <v>13</v>
      </c>
      <c r="F588" t="s">
        <v>38</v>
      </c>
      <c r="G588" t="s">
        <v>19</v>
      </c>
      <c r="H588">
        <v>6</v>
      </c>
      <c r="I588">
        <v>12000</v>
      </c>
      <c r="J588">
        <v>72000</v>
      </c>
      <c r="K588">
        <v>59040</v>
      </c>
      <c r="L588">
        <v>12960</v>
      </c>
    </row>
    <row r="589" spans="1:12" x14ac:dyDescent="0.3">
      <c r="A589" t="s">
        <v>1569</v>
      </c>
      <c r="B589" t="s">
        <v>697</v>
      </c>
      <c r="C589" t="s">
        <v>1570</v>
      </c>
      <c r="D589" t="s">
        <v>106</v>
      </c>
      <c r="E589" t="s">
        <v>107</v>
      </c>
      <c r="F589" t="s">
        <v>52</v>
      </c>
      <c r="G589" t="s">
        <v>15</v>
      </c>
      <c r="H589">
        <v>1</v>
      </c>
      <c r="I589">
        <v>6500</v>
      </c>
      <c r="J589">
        <v>6500</v>
      </c>
      <c r="K589">
        <v>5330</v>
      </c>
      <c r="L589">
        <v>1170</v>
      </c>
    </row>
    <row r="590" spans="1:12" x14ac:dyDescent="0.3">
      <c r="A590" t="s">
        <v>1571</v>
      </c>
      <c r="B590" t="s">
        <v>700</v>
      </c>
      <c r="C590" t="s">
        <v>1572</v>
      </c>
      <c r="D590" t="s">
        <v>42</v>
      </c>
      <c r="E590" t="s">
        <v>13</v>
      </c>
      <c r="F590" t="s">
        <v>25</v>
      </c>
      <c r="G590" t="s">
        <v>26</v>
      </c>
      <c r="H590">
        <v>6</v>
      </c>
      <c r="I590">
        <v>15000</v>
      </c>
      <c r="J590">
        <v>90000</v>
      </c>
      <c r="K590">
        <v>73800</v>
      </c>
      <c r="L590">
        <v>16200</v>
      </c>
    </row>
    <row r="591" spans="1:12" x14ac:dyDescent="0.3">
      <c r="A591" t="s">
        <v>1573</v>
      </c>
      <c r="B591" t="s">
        <v>703</v>
      </c>
      <c r="C591" t="s">
        <v>1574</v>
      </c>
      <c r="D591" t="s">
        <v>12</v>
      </c>
      <c r="E591" t="s">
        <v>13</v>
      </c>
      <c r="F591" t="s">
        <v>14</v>
      </c>
      <c r="G591" t="s">
        <v>84</v>
      </c>
      <c r="H591">
        <v>10</v>
      </c>
      <c r="I591">
        <v>50000</v>
      </c>
      <c r="J591">
        <v>500000</v>
      </c>
      <c r="K591">
        <v>410000</v>
      </c>
      <c r="L591">
        <v>90000</v>
      </c>
    </row>
    <row r="592" spans="1:12" x14ac:dyDescent="0.3">
      <c r="A592" t="s">
        <v>1575</v>
      </c>
      <c r="B592" t="s">
        <v>706</v>
      </c>
      <c r="C592" t="s">
        <v>1576</v>
      </c>
      <c r="D592" t="s">
        <v>106</v>
      </c>
      <c r="E592" t="s">
        <v>107</v>
      </c>
      <c r="F592" t="s">
        <v>14</v>
      </c>
      <c r="G592" t="s">
        <v>43</v>
      </c>
      <c r="H592">
        <v>6</v>
      </c>
      <c r="I592">
        <v>6500</v>
      </c>
      <c r="J592">
        <v>39000</v>
      </c>
      <c r="K592">
        <v>31979</v>
      </c>
      <c r="L592">
        <v>7021</v>
      </c>
    </row>
    <row r="593" spans="1:12" x14ac:dyDescent="0.3">
      <c r="A593" t="s">
        <v>1577</v>
      </c>
      <c r="B593" t="s">
        <v>709</v>
      </c>
      <c r="C593" t="s">
        <v>1578</v>
      </c>
      <c r="D593" t="s">
        <v>23</v>
      </c>
      <c r="E593" t="s">
        <v>24</v>
      </c>
      <c r="F593" t="s">
        <v>52</v>
      </c>
      <c r="G593" t="s">
        <v>43</v>
      </c>
      <c r="H593">
        <v>8</v>
      </c>
      <c r="I593">
        <v>800</v>
      </c>
      <c r="J593">
        <v>6400</v>
      </c>
      <c r="K593">
        <v>5248</v>
      </c>
      <c r="L593">
        <v>1152</v>
      </c>
    </row>
    <row r="594" spans="1:12" x14ac:dyDescent="0.3">
      <c r="A594" t="s">
        <v>1579</v>
      </c>
      <c r="B594" t="s">
        <v>712</v>
      </c>
      <c r="C594" t="s">
        <v>1580</v>
      </c>
      <c r="D594" t="s">
        <v>42</v>
      </c>
      <c r="E594" t="s">
        <v>13</v>
      </c>
      <c r="F594" t="s">
        <v>14</v>
      </c>
      <c r="G594" t="s">
        <v>26</v>
      </c>
      <c r="H594">
        <v>7</v>
      </c>
      <c r="I594">
        <v>15000</v>
      </c>
      <c r="J594">
        <v>105000</v>
      </c>
      <c r="K594">
        <v>86100</v>
      </c>
      <c r="L594">
        <v>18900</v>
      </c>
    </row>
    <row r="595" spans="1:12" x14ac:dyDescent="0.3">
      <c r="A595" t="s">
        <v>1581</v>
      </c>
      <c r="B595" t="s">
        <v>715</v>
      </c>
      <c r="C595" t="s">
        <v>1582</v>
      </c>
      <c r="D595" t="s">
        <v>42</v>
      </c>
      <c r="E595" t="s">
        <v>13</v>
      </c>
      <c r="F595" t="s">
        <v>38</v>
      </c>
      <c r="G595" t="s">
        <v>26</v>
      </c>
      <c r="H595">
        <v>5</v>
      </c>
      <c r="I595">
        <v>15000</v>
      </c>
      <c r="J595">
        <v>75000</v>
      </c>
      <c r="K595">
        <v>61499</v>
      </c>
      <c r="L595">
        <v>13501</v>
      </c>
    </row>
    <row r="596" spans="1:12" x14ac:dyDescent="0.3">
      <c r="A596" t="s">
        <v>1583</v>
      </c>
      <c r="B596" t="s">
        <v>718</v>
      </c>
      <c r="C596" t="s">
        <v>1584</v>
      </c>
      <c r="D596" t="s">
        <v>106</v>
      </c>
      <c r="E596" t="s">
        <v>107</v>
      </c>
      <c r="F596" t="s">
        <v>52</v>
      </c>
      <c r="G596" t="s">
        <v>15</v>
      </c>
      <c r="H596">
        <v>7</v>
      </c>
      <c r="I596">
        <v>6500</v>
      </c>
      <c r="J596">
        <v>45500</v>
      </c>
      <c r="K596">
        <v>37310</v>
      </c>
      <c r="L596">
        <v>8190</v>
      </c>
    </row>
    <row r="597" spans="1:12" x14ac:dyDescent="0.3">
      <c r="A597" t="s">
        <v>1585</v>
      </c>
      <c r="B597" t="s">
        <v>721</v>
      </c>
      <c r="C597" t="s">
        <v>1586</v>
      </c>
      <c r="D597" t="s">
        <v>42</v>
      </c>
      <c r="E597" t="s">
        <v>13</v>
      </c>
      <c r="F597" t="s">
        <v>38</v>
      </c>
      <c r="G597" t="s">
        <v>84</v>
      </c>
      <c r="H597">
        <v>7</v>
      </c>
      <c r="I597">
        <v>15000</v>
      </c>
      <c r="J597">
        <v>105000</v>
      </c>
      <c r="K597">
        <v>86100</v>
      </c>
      <c r="L597">
        <v>18900</v>
      </c>
    </row>
    <row r="598" spans="1:12" x14ac:dyDescent="0.3">
      <c r="A598" t="s">
        <v>1587</v>
      </c>
      <c r="B598" t="s">
        <v>724</v>
      </c>
      <c r="C598" t="s">
        <v>1588</v>
      </c>
      <c r="D598" t="s">
        <v>59</v>
      </c>
      <c r="E598" t="s">
        <v>24</v>
      </c>
      <c r="F598" t="s">
        <v>25</v>
      </c>
      <c r="G598" t="s">
        <v>26</v>
      </c>
      <c r="H598">
        <v>3</v>
      </c>
      <c r="I598">
        <v>1500</v>
      </c>
      <c r="J598">
        <v>4500</v>
      </c>
      <c r="K598">
        <v>3690</v>
      </c>
      <c r="L598">
        <v>810</v>
      </c>
    </row>
    <row r="599" spans="1:12" x14ac:dyDescent="0.3">
      <c r="A599" t="s">
        <v>1589</v>
      </c>
      <c r="B599" t="s">
        <v>727</v>
      </c>
      <c r="C599" t="s">
        <v>1590</v>
      </c>
      <c r="D599" t="s">
        <v>106</v>
      </c>
      <c r="E599" t="s">
        <v>107</v>
      </c>
      <c r="F599" t="s">
        <v>25</v>
      </c>
      <c r="G599" t="s">
        <v>15</v>
      </c>
      <c r="H599">
        <v>6</v>
      </c>
      <c r="I599">
        <v>6500</v>
      </c>
      <c r="J599">
        <v>39000</v>
      </c>
      <c r="K599">
        <v>31979</v>
      </c>
      <c r="L599">
        <v>7021</v>
      </c>
    </row>
    <row r="600" spans="1:12" x14ac:dyDescent="0.3">
      <c r="A600" t="s">
        <v>1591</v>
      </c>
      <c r="B600" t="s">
        <v>730</v>
      </c>
      <c r="C600" t="s">
        <v>1592</v>
      </c>
      <c r="D600" t="s">
        <v>23</v>
      </c>
      <c r="E600" t="s">
        <v>24</v>
      </c>
      <c r="F600" t="s">
        <v>25</v>
      </c>
      <c r="G600" t="s">
        <v>19</v>
      </c>
      <c r="H600">
        <v>8</v>
      </c>
      <c r="I600">
        <v>800</v>
      </c>
      <c r="J600">
        <v>6400</v>
      </c>
      <c r="K600">
        <v>5248</v>
      </c>
      <c r="L600">
        <v>1152</v>
      </c>
    </row>
    <row r="601" spans="1:12" x14ac:dyDescent="0.3">
      <c r="A601" t="s">
        <v>1593</v>
      </c>
      <c r="B601" t="s">
        <v>733</v>
      </c>
      <c r="C601" t="s">
        <v>1594</v>
      </c>
      <c r="D601" t="s">
        <v>23</v>
      </c>
      <c r="E601" t="s">
        <v>24</v>
      </c>
      <c r="F601" t="s">
        <v>38</v>
      </c>
      <c r="G601" t="s">
        <v>15</v>
      </c>
      <c r="H601">
        <v>6</v>
      </c>
      <c r="I601">
        <v>800</v>
      </c>
      <c r="J601">
        <v>4800</v>
      </c>
      <c r="K601">
        <v>3935</v>
      </c>
      <c r="L601">
        <v>865</v>
      </c>
    </row>
    <row r="602" spans="1:12" x14ac:dyDescent="0.3">
      <c r="A602" t="s">
        <v>1595</v>
      </c>
      <c r="B602" t="s">
        <v>736</v>
      </c>
      <c r="C602" t="s">
        <v>1596</v>
      </c>
      <c r="D602" t="s">
        <v>12</v>
      </c>
      <c r="E602" t="s">
        <v>13</v>
      </c>
      <c r="F602" t="s">
        <v>25</v>
      </c>
      <c r="G602" t="s">
        <v>19</v>
      </c>
      <c r="H602">
        <v>6</v>
      </c>
      <c r="I602">
        <v>50000</v>
      </c>
      <c r="J602">
        <v>300000</v>
      </c>
      <c r="K602">
        <v>245999</v>
      </c>
      <c r="L602">
        <v>54001</v>
      </c>
    </row>
    <row r="603" spans="1:12" x14ac:dyDescent="0.3">
      <c r="A603" t="s">
        <v>1597</v>
      </c>
      <c r="B603" t="s">
        <v>739</v>
      </c>
      <c r="C603" t="s">
        <v>1598</v>
      </c>
      <c r="D603" t="s">
        <v>34</v>
      </c>
      <c r="E603" t="s">
        <v>24</v>
      </c>
      <c r="F603" t="s">
        <v>25</v>
      </c>
      <c r="G603" t="s">
        <v>26</v>
      </c>
      <c r="H603">
        <v>10</v>
      </c>
      <c r="I603">
        <v>3000</v>
      </c>
      <c r="J603">
        <v>30000</v>
      </c>
      <c r="K603">
        <v>24600</v>
      </c>
      <c r="L603">
        <v>5400</v>
      </c>
    </row>
    <row r="604" spans="1:12" x14ac:dyDescent="0.3">
      <c r="A604" t="s">
        <v>1599</v>
      </c>
      <c r="B604" t="s">
        <v>742</v>
      </c>
      <c r="C604" t="s">
        <v>1600</v>
      </c>
      <c r="D604" t="s">
        <v>34</v>
      </c>
      <c r="E604" t="s">
        <v>24</v>
      </c>
      <c r="F604" t="s">
        <v>52</v>
      </c>
      <c r="G604" t="s">
        <v>15</v>
      </c>
      <c r="H604">
        <v>6</v>
      </c>
      <c r="I604">
        <v>3000</v>
      </c>
      <c r="J604">
        <v>18000</v>
      </c>
      <c r="K604">
        <v>14760</v>
      </c>
      <c r="L604">
        <v>3240</v>
      </c>
    </row>
    <row r="605" spans="1:12" x14ac:dyDescent="0.3">
      <c r="A605" t="s">
        <v>1601</v>
      </c>
      <c r="B605" t="s">
        <v>745</v>
      </c>
      <c r="C605" t="s">
        <v>1602</v>
      </c>
      <c r="D605" t="s">
        <v>50</v>
      </c>
      <c r="E605" t="s">
        <v>51</v>
      </c>
      <c r="F605" t="s">
        <v>52</v>
      </c>
      <c r="G605" t="s">
        <v>84</v>
      </c>
      <c r="H605">
        <v>6</v>
      </c>
      <c r="I605">
        <v>2200</v>
      </c>
      <c r="J605">
        <v>13200</v>
      </c>
      <c r="K605">
        <v>10824</v>
      </c>
      <c r="L605">
        <v>2376</v>
      </c>
    </row>
    <row r="606" spans="1:12" x14ac:dyDescent="0.3">
      <c r="A606" t="s">
        <v>1603</v>
      </c>
      <c r="B606" t="s">
        <v>748</v>
      </c>
      <c r="C606" t="s">
        <v>1604</v>
      </c>
      <c r="D606" t="s">
        <v>42</v>
      </c>
      <c r="E606" t="s">
        <v>13</v>
      </c>
      <c r="F606" t="s">
        <v>52</v>
      </c>
      <c r="G606" t="s">
        <v>15</v>
      </c>
      <c r="H606">
        <v>10</v>
      </c>
      <c r="I606">
        <v>15000</v>
      </c>
      <c r="J606">
        <v>150000</v>
      </c>
      <c r="K606">
        <v>122999</v>
      </c>
      <c r="L606">
        <v>27001</v>
      </c>
    </row>
    <row r="607" spans="1:12" x14ac:dyDescent="0.3">
      <c r="A607" t="s">
        <v>1605</v>
      </c>
      <c r="B607" t="s">
        <v>751</v>
      </c>
      <c r="C607" t="s">
        <v>1606</v>
      </c>
      <c r="D607" t="s">
        <v>34</v>
      </c>
      <c r="E607" t="s">
        <v>24</v>
      </c>
      <c r="F607" t="s">
        <v>52</v>
      </c>
      <c r="G607" t="s">
        <v>43</v>
      </c>
      <c r="H607">
        <v>10</v>
      </c>
      <c r="I607">
        <v>3000</v>
      </c>
      <c r="J607">
        <v>30000</v>
      </c>
      <c r="K607">
        <v>24600</v>
      </c>
      <c r="L607">
        <v>5400</v>
      </c>
    </row>
    <row r="608" spans="1:12" x14ac:dyDescent="0.3">
      <c r="A608" t="s">
        <v>1607</v>
      </c>
      <c r="B608" t="s">
        <v>754</v>
      </c>
      <c r="C608" t="s">
        <v>1608</v>
      </c>
      <c r="D608" t="s">
        <v>12</v>
      </c>
      <c r="E608" t="s">
        <v>13</v>
      </c>
      <c r="F608" t="s">
        <v>14</v>
      </c>
      <c r="G608" t="s">
        <v>15</v>
      </c>
      <c r="H608">
        <v>5</v>
      </c>
      <c r="I608">
        <v>50000</v>
      </c>
      <c r="J608">
        <v>250000</v>
      </c>
      <c r="K608">
        <v>205000</v>
      </c>
      <c r="L608">
        <v>45000</v>
      </c>
    </row>
    <row r="609" spans="1:12" x14ac:dyDescent="0.3">
      <c r="A609" t="s">
        <v>1609</v>
      </c>
      <c r="B609" t="s">
        <v>757</v>
      </c>
      <c r="C609" t="s">
        <v>1610</v>
      </c>
      <c r="D609" t="s">
        <v>12</v>
      </c>
      <c r="E609" t="s">
        <v>13</v>
      </c>
      <c r="F609" t="s">
        <v>14</v>
      </c>
      <c r="G609" t="s">
        <v>15</v>
      </c>
      <c r="H609">
        <v>3</v>
      </c>
      <c r="I609">
        <v>50000</v>
      </c>
      <c r="J609">
        <v>150000</v>
      </c>
      <c r="K609">
        <v>122999</v>
      </c>
      <c r="L609">
        <v>27001</v>
      </c>
    </row>
    <row r="610" spans="1:12" x14ac:dyDescent="0.3">
      <c r="A610" t="s">
        <v>1611</v>
      </c>
      <c r="B610" t="s">
        <v>760</v>
      </c>
      <c r="C610" t="s">
        <v>1612</v>
      </c>
      <c r="D610" t="s">
        <v>59</v>
      </c>
      <c r="E610" t="s">
        <v>24</v>
      </c>
      <c r="F610" t="s">
        <v>25</v>
      </c>
      <c r="G610" t="s">
        <v>43</v>
      </c>
      <c r="H610">
        <v>10</v>
      </c>
      <c r="I610">
        <v>1500</v>
      </c>
      <c r="J610">
        <v>15000</v>
      </c>
      <c r="K610">
        <v>12300</v>
      </c>
      <c r="L610">
        <v>2700</v>
      </c>
    </row>
    <row r="611" spans="1:12" x14ac:dyDescent="0.3">
      <c r="A611" t="s">
        <v>1613</v>
      </c>
      <c r="B611" t="s">
        <v>763</v>
      </c>
      <c r="C611" t="s">
        <v>1614</v>
      </c>
      <c r="D611" t="s">
        <v>12</v>
      </c>
      <c r="E611" t="s">
        <v>13</v>
      </c>
      <c r="F611" t="s">
        <v>52</v>
      </c>
      <c r="G611" t="s">
        <v>15</v>
      </c>
      <c r="H611">
        <v>6</v>
      </c>
      <c r="I611">
        <v>50000</v>
      </c>
      <c r="J611">
        <v>300000</v>
      </c>
      <c r="K611">
        <v>245999</v>
      </c>
      <c r="L611">
        <v>54001</v>
      </c>
    </row>
    <row r="612" spans="1:12" x14ac:dyDescent="0.3">
      <c r="A612" t="s">
        <v>1615</v>
      </c>
      <c r="B612" t="s">
        <v>766</v>
      </c>
      <c r="C612" t="s">
        <v>1616</v>
      </c>
      <c r="D612" t="s">
        <v>34</v>
      </c>
      <c r="E612" t="s">
        <v>24</v>
      </c>
      <c r="F612" t="s">
        <v>14</v>
      </c>
      <c r="G612" t="s">
        <v>26</v>
      </c>
      <c r="H612">
        <v>7</v>
      </c>
      <c r="I612">
        <v>3000</v>
      </c>
      <c r="J612">
        <v>21000</v>
      </c>
      <c r="K612">
        <v>17220</v>
      </c>
      <c r="L612">
        <v>3780</v>
      </c>
    </row>
    <row r="613" spans="1:12" x14ac:dyDescent="0.3">
      <c r="A613" t="s">
        <v>1617</v>
      </c>
      <c r="B613" t="s">
        <v>769</v>
      </c>
      <c r="C613" t="s">
        <v>1618</v>
      </c>
      <c r="D613" t="s">
        <v>42</v>
      </c>
      <c r="E613" t="s">
        <v>13</v>
      </c>
      <c r="F613" t="s">
        <v>14</v>
      </c>
      <c r="G613" t="s">
        <v>26</v>
      </c>
      <c r="H613">
        <v>6</v>
      </c>
      <c r="I613">
        <v>15000</v>
      </c>
      <c r="J613">
        <v>90000</v>
      </c>
      <c r="K613">
        <v>73800</v>
      </c>
      <c r="L613">
        <v>16200</v>
      </c>
    </row>
    <row r="614" spans="1:12" x14ac:dyDescent="0.3">
      <c r="A614" t="s">
        <v>1619</v>
      </c>
      <c r="B614" t="s">
        <v>772</v>
      </c>
      <c r="C614" t="s">
        <v>1620</v>
      </c>
      <c r="D614" t="s">
        <v>30</v>
      </c>
      <c r="E614" t="s">
        <v>13</v>
      </c>
      <c r="F614" t="s">
        <v>52</v>
      </c>
      <c r="G614" t="s">
        <v>84</v>
      </c>
      <c r="H614">
        <v>8</v>
      </c>
      <c r="I614">
        <v>12000</v>
      </c>
      <c r="J614">
        <v>96000</v>
      </c>
      <c r="K614">
        <v>78720</v>
      </c>
      <c r="L614">
        <v>17280</v>
      </c>
    </row>
    <row r="615" spans="1:12" x14ac:dyDescent="0.3">
      <c r="A615" t="s">
        <v>1621</v>
      </c>
      <c r="B615" t="s">
        <v>775</v>
      </c>
      <c r="C615" t="s">
        <v>1622</v>
      </c>
      <c r="D615" t="s">
        <v>23</v>
      </c>
      <c r="E615" t="s">
        <v>24</v>
      </c>
      <c r="F615" t="s">
        <v>52</v>
      </c>
      <c r="G615" t="s">
        <v>26</v>
      </c>
      <c r="H615">
        <v>2</v>
      </c>
      <c r="I615">
        <v>800</v>
      </c>
      <c r="J615">
        <v>1600</v>
      </c>
      <c r="K615">
        <v>1312</v>
      </c>
      <c r="L615">
        <v>288</v>
      </c>
    </row>
    <row r="616" spans="1:12" x14ac:dyDescent="0.3">
      <c r="A616" t="s">
        <v>1623</v>
      </c>
      <c r="B616" t="s">
        <v>778</v>
      </c>
      <c r="C616" t="s">
        <v>1624</v>
      </c>
      <c r="D616" t="s">
        <v>42</v>
      </c>
      <c r="E616" t="s">
        <v>13</v>
      </c>
      <c r="F616" t="s">
        <v>25</v>
      </c>
      <c r="G616" t="s">
        <v>19</v>
      </c>
      <c r="H616">
        <v>8</v>
      </c>
      <c r="I616">
        <v>15000</v>
      </c>
      <c r="J616">
        <v>120000</v>
      </c>
      <c r="K616">
        <v>98400</v>
      </c>
      <c r="L616">
        <v>21600</v>
      </c>
    </row>
    <row r="617" spans="1:12" x14ac:dyDescent="0.3">
      <c r="A617" t="s">
        <v>1625</v>
      </c>
      <c r="B617" t="s">
        <v>781</v>
      </c>
      <c r="C617" t="s">
        <v>1626</v>
      </c>
      <c r="D617" t="s">
        <v>12</v>
      </c>
      <c r="E617" t="s">
        <v>13</v>
      </c>
      <c r="F617" t="s">
        <v>38</v>
      </c>
      <c r="G617" t="s">
        <v>43</v>
      </c>
      <c r="H617">
        <v>10</v>
      </c>
      <c r="I617">
        <v>50000</v>
      </c>
      <c r="J617">
        <v>500000</v>
      </c>
      <c r="K617">
        <v>410000</v>
      </c>
      <c r="L617">
        <v>90000</v>
      </c>
    </row>
    <row r="618" spans="1:12" x14ac:dyDescent="0.3">
      <c r="A618" t="s">
        <v>1627</v>
      </c>
      <c r="B618" t="s">
        <v>784</v>
      </c>
      <c r="C618" t="s">
        <v>1628</v>
      </c>
      <c r="D618" t="s">
        <v>106</v>
      </c>
      <c r="E618" t="s">
        <v>107</v>
      </c>
      <c r="F618" t="s">
        <v>25</v>
      </c>
      <c r="G618" t="s">
        <v>15</v>
      </c>
      <c r="H618">
        <v>5</v>
      </c>
      <c r="I618">
        <v>6500</v>
      </c>
      <c r="J618">
        <v>32500</v>
      </c>
      <c r="K618">
        <v>26650</v>
      </c>
      <c r="L618">
        <v>5850</v>
      </c>
    </row>
    <row r="619" spans="1:12" x14ac:dyDescent="0.3">
      <c r="A619" t="s">
        <v>1629</v>
      </c>
      <c r="B619" t="s">
        <v>787</v>
      </c>
      <c r="C619" t="s">
        <v>1630</v>
      </c>
      <c r="D619" t="s">
        <v>42</v>
      </c>
      <c r="E619" t="s">
        <v>13</v>
      </c>
      <c r="F619" t="s">
        <v>38</v>
      </c>
      <c r="G619" t="s">
        <v>19</v>
      </c>
      <c r="H619">
        <v>1</v>
      </c>
      <c r="I619">
        <v>15000</v>
      </c>
      <c r="J619">
        <v>15000</v>
      </c>
      <c r="K619">
        <v>12300</v>
      </c>
      <c r="L619">
        <v>2700</v>
      </c>
    </row>
    <row r="620" spans="1:12" x14ac:dyDescent="0.3">
      <c r="A620" t="s">
        <v>1631</v>
      </c>
      <c r="B620" t="s">
        <v>790</v>
      </c>
      <c r="C620" t="s">
        <v>1632</v>
      </c>
      <c r="D620" t="s">
        <v>34</v>
      </c>
      <c r="E620" t="s">
        <v>24</v>
      </c>
      <c r="F620" t="s">
        <v>52</v>
      </c>
      <c r="G620" t="s">
        <v>26</v>
      </c>
      <c r="H620">
        <v>5</v>
      </c>
      <c r="I620">
        <v>3000</v>
      </c>
      <c r="J620">
        <v>15000</v>
      </c>
      <c r="K620">
        <v>12300</v>
      </c>
      <c r="L620">
        <v>2700</v>
      </c>
    </row>
    <row r="621" spans="1:12" x14ac:dyDescent="0.3">
      <c r="A621" t="s">
        <v>1633</v>
      </c>
      <c r="B621" t="s">
        <v>793</v>
      </c>
      <c r="C621" t="s">
        <v>1634</v>
      </c>
      <c r="D621" t="s">
        <v>34</v>
      </c>
      <c r="E621" t="s">
        <v>24</v>
      </c>
      <c r="F621" t="s">
        <v>38</v>
      </c>
      <c r="G621" t="s">
        <v>26</v>
      </c>
      <c r="H621">
        <v>5</v>
      </c>
      <c r="I621">
        <v>3000</v>
      </c>
      <c r="J621">
        <v>15000</v>
      </c>
      <c r="K621">
        <v>12300</v>
      </c>
      <c r="L621">
        <v>2700</v>
      </c>
    </row>
    <row r="622" spans="1:12" x14ac:dyDescent="0.3">
      <c r="A622" t="s">
        <v>1635</v>
      </c>
      <c r="B622" t="s">
        <v>796</v>
      </c>
      <c r="C622" t="s">
        <v>1636</v>
      </c>
      <c r="D622" t="s">
        <v>34</v>
      </c>
      <c r="E622" t="s">
        <v>24</v>
      </c>
      <c r="F622" t="s">
        <v>25</v>
      </c>
      <c r="G622" t="s">
        <v>84</v>
      </c>
      <c r="H622">
        <v>9</v>
      </c>
      <c r="I622">
        <v>3000</v>
      </c>
      <c r="J622">
        <v>27000</v>
      </c>
      <c r="K622">
        <v>22140</v>
      </c>
      <c r="L622">
        <v>4860</v>
      </c>
    </row>
    <row r="623" spans="1:12" x14ac:dyDescent="0.3">
      <c r="A623" t="s">
        <v>1637</v>
      </c>
      <c r="B623" t="s">
        <v>799</v>
      </c>
      <c r="C623" t="s">
        <v>1638</v>
      </c>
      <c r="D623" t="s">
        <v>42</v>
      </c>
      <c r="E623" t="s">
        <v>13</v>
      </c>
      <c r="F623" t="s">
        <v>25</v>
      </c>
      <c r="G623" t="s">
        <v>43</v>
      </c>
      <c r="H623">
        <v>9</v>
      </c>
      <c r="I623">
        <v>15000</v>
      </c>
      <c r="J623">
        <v>135000</v>
      </c>
      <c r="K623">
        <v>110700</v>
      </c>
      <c r="L623">
        <v>24300</v>
      </c>
    </row>
    <row r="624" spans="1:12" x14ac:dyDescent="0.3">
      <c r="A624" t="s">
        <v>1639</v>
      </c>
      <c r="B624" t="s">
        <v>802</v>
      </c>
      <c r="C624" t="s">
        <v>1640</v>
      </c>
      <c r="D624" t="s">
        <v>30</v>
      </c>
      <c r="E624" t="s">
        <v>13</v>
      </c>
      <c r="F624" t="s">
        <v>38</v>
      </c>
      <c r="G624" t="s">
        <v>43</v>
      </c>
      <c r="H624">
        <v>3</v>
      </c>
      <c r="I624">
        <v>12000</v>
      </c>
      <c r="J624">
        <v>36000</v>
      </c>
      <c r="K624">
        <v>29520</v>
      </c>
      <c r="L624">
        <v>6480</v>
      </c>
    </row>
    <row r="625" spans="1:12" x14ac:dyDescent="0.3">
      <c r="A625" t="s">
        <v>1641</v>
      </c>
      <c r="B625" t="s">
        <v>805</v>
      </c>
      <c r="C625" t="s">
        <v>1642</v>
      </c>
      <c r="D625" t="s">
        <v>106</v>
      </c>
      <c r="E625" t="s">
        <v>107</v>
      </c>
      <c r="F625" t="s">
        <v>52</v>
      </c>
      <c r="G625" t="s">
        <v>15</v>
      </c>
      <c r="H625">
        <v>10</v>
      </c>
      <c r="I625">
        <v>6500</v>
      </c>
      <c r="J625">
        <v>65000</v>
      </c>
      <c r="K625">
        <v>53300</v>
      </c>
      <c r="L625">
        <v>11700</v>
      </c>
    </row>
    <row r="626" spans="1:12" x14ac:dyDescent="0.3">
      <c r="A626" t="s">
        <v>1643</v>
      </c>
      <c r="B626" t="s">
        <v>808</v>
      </c>
      <c r="C626" t="s">
        <v>1644</v>
      </c>
      <c r="D626" t="s">
        <v>30</v>
      </c>
      <c r="E626" t="s">
        <v>13</v>
      </c>
      <c r="F626" t="s">
        <v>25</v>
      </c>
      <c r="G626" t="s">
        <v>26</v>
      </c>
      <c r="H626">
        <v>2</v>
      </c>
      <c r="I626">
        <v>12000</v>
      </c>
      <c r="J626">
        <v>24000</v>
      </c>
      <c r="K626">
        <v>19680</v>
      </c>
      <c r="L626">
        <v>4320</v>
      </c>
    </row>
    <row r="627" spans="1:12" x14ac:dyDescent="0.3">
      <c r="A627" t="s">
        <v>1645</v>
      </c>
      <c r="B627" t="s">
        <v>811</v>
      </c>
      <c r="C627" t="s">
        <v>1646</v>
      </c>
      <c r="D627" t="s">
        <v>106</v>
      </c>
      <c r="E627" t="s">
        <v>107</v>
      </c>
      <c r="F627" t="s">
        <v>14</v>
      </c>
      <c r="G627" t="s">
        <v>26</v>
      </c>
      <c r="H627">
        <v>8</v>
      </c>
      <c r="I627">
        <v>6500</v>
      </c>
      <c r="J627">
        <v>52000</v>
      </c>
      <c r="K627">
        <v>42640</v>
      </c>
      <c r="L627">
        <v>9360</v>
      </c>
    </row>
    <row r="628" spans="1:12" x14ac:dyDescent="0.3">
      <c r="A628" t="s">
        <v>1647</v>
      </c>
      <c r="B628" t="s">
        <v>814</v>
      </c>
      <c r="C628" t="s">
        <v>1648</v>
      </c>
      <c r="D628" t="s">
        <v>42</v>
      </c>
      <c r="E628" t="s">
        <v>13</v>
      </c>
      <c r="F628" t="s">
        <v>25</v>
      </c>
      <c r="G628" t="s">
        <v>84</v>
      </c>
      <c r="H628">
        <v>1</v>
      </c>
      <c r="I628">
        <v>15000</v>
      </c>
      <c r="J628">
        <v>15000</v>
      </c>
      <c r="K628">
        <v>12300</v>
      </c>
      <c r="L628">
        <v>2700</v>
      </c>
    </row>
    <row r="629" spans="1:12" x14ac:dyDescent="0.3">
      <c r="A629" t="s">
        <v>1649</v>
      </c>
      <c r="B629" t="s">
        <v>817</v>
      </c>
      <c r="C629" t="s">
        <v>1650</v>
      </c>
      <c r="D629" t="s">
        <v>23</v>
      </c>
      <c r="E629" t="s">
        <v>24</v>
      </c>
      <c r="F629" t="s">
        <v>14</v>
      </c>
      <c r="G629" t="s">
        <v>43</v>
      </c>
      <c r="H629">
        <v>6</v>
      </c>
      <c r="I629">
        <v>800</v>
      </c>
      <c r="J629">
        <v>4800</v>
      </c>
      <c r="K629">
        <v>3935</v>
      </c>
      <c r="L629">
        <v>865</v>
      </c>
    </row>
    <row r="630" spans="1:12" x14ac:dyDescent="0.3">
      <c r="A630" t="s">
        <v>1651</v>
      </c>
      <c r="B630" t="s">
        <v>820</v>
      </c>
      <c r="C630" t="s">
        <v>1652</v>
      </c>
      <c r="D630" t="s">
        <v>106</v>
      </c>
      <c r="E630" t="s">
        <v>107</v>
      </c>
      <c r="F630" t="s">
        <v>25</v>
      </c>
      <c r="G630" t="s">
        <v>43</v>
      </c>
      <c r="H630">
        <v>8</v>
      </c>
      <c r="I630">
        <v>6500</v>
      </c>
      <c r="J630">
        <v>52000</v>
      </c>
      <c r="K630">
        <v>42640</v>
      </c>
      <c r="L630">
        <v>9360</v>
      </c>
    </row>
    <row r="631" spans="1:12" x14ac:dyDescent="0.3">
      <c r="A631" t="s">
        <v>1653</v>
      </c>
      <c r="B631" t="s">
        <v>823</v>
      </c>
      <c r="C631" t="s">
        <v>1654</v>
      </c>
      <c r="D631" t="s">
        <v>50</v>
      </c>
      <c r="E631" t="s">
        <v>51</v>
      </c>
      <c r="F631" t="s">
        <v>38</v>
      </c>
      <c r="G631" t="s">
        <v>43</v>
      </c>
      <c r="H631">
        <v>2</v>
      </c>
      <c r="I631">
        <v>2200</v>
      </c>
      <c r="J631">
        <v>4400</v>
      </c>
      <c r="K631">
        <v>3608</v>
      </c>
      <c r="L631">
        <v>792</v>
      </c>
    </row>
    <row r="632" spans="1:12" x14ac:dyDescent="0.3">
      <c r="A632" t="s">
        <v>1655</v>
      </c>
      <c r="B632" t="s">
        <v>826</v>
      </c>
      <c r="C632" t="s">
        <v>1656</v>
      </c>
      <c r="D632" t="s">
        <v>59</v>
      </c>
      <c r="E632" t="s">
        <v>24</v>
      </c>
      <c r="F632" t="s">
        <v>38</v>
      </c>
      <c r="G632" t="s">
        <v>26</v>
      </c>
      <c r="H632">
        <v>6</v>
      </c>
      <c r="I632">
        <v>1500</v>
      </c>
      <c r="J632">
        <v>9000</v>
      </c>
      <c r="K632">
        <v>7380</v>
      </c>
      <c r="L632">
        <v>1620</v>
      </c>
    </row>
    <row r="633" spans="1:12" x14ac:dyDescent="0.3">
      <c r="A633" t="s">
        <v>1657</v>
      </c>
      <c r="B633" t="s">
        <v>829</v>
      </c>
      <c r="C633" t="s">
        <v>1658</v>
      </c>
      <c r="D633" t="s">
        <v>30</v>
      </c>
      <c r="E633" t="s">
        <v>13</v>
      </c>
      <c r="F633" t="s">
        <v>38</v>
      </c>
      <c r="G633" t="s">
        <v>84</v>
      </c>
      <c r="H633">
        <v>8</v>
      </c>
      <c r="I633">
        <v>12000</v>
      </c>
      <c r="J633">
        <v>96000</v>
      </c>
      <c r="K633">
        <v>78720</v>
      </c>
      <c r="L633">
        <v>17280</v>
      </c>
    </row>
    <row r="634" spans="1:12" x14ac:dyDescent="0.3">
      <c r="A634" t="s">
        <v>1659</v>
      </c>
      <c r="B634" t="s">
        <v>832</v>
      </c>
      <c r="C634" t="s">
        <v>1660</v>
      </c>
      <c r="D634" t="s">
        <v>59</v>
      </c>
      <c r="E634" t="s">
        <v>24</v>
      </c>
      <c r="F634" t="s">
        <v>38</v>
      </c>
      <c r="G634" t="s">
        <v>19</v>
      </c>
      <c r="H634">
        <v>9</v>
      </c>
      <c r="I634">
        <v>1500</v>
      </c>
      <c r="J634">
        <v>13500</v>
      </c>
      <c r="K634">
        <v>11070</v>
      </c>
      <c r="L634">
        <v>2430</v>
      </c>
    </row>
    <row r="635" spans="1:12" x14ac:dyDescent="0.3">
      <c r="A635" t="s">
        <v>1661</v>
      </c>
      <c r="B635" t="s">
        <v>835</v>
      </c>
      <c r="C635" t="s">
        <v>1662</v>
      </c>
      <c r="D635" t="s">
        <v>34</v>
      </c>
      <c r="E635" t="s">
        <v>24</v>
      </c>
      <c r="F635" t="s">
        <v>14</v>
      </c>
      <c r="G635" t="s">
        <v>26</v>
      </c>
      <c r="H635">
        <v>10</v>
      </c>
      <c r="I635">
        <v>3000</v>
      </c>
      <c r="J635">
        <v>30000</v>
      </c>
      <c r="K635">
        <v>24600</v>
      </c>
      <c r="L635">
        <v>5400</v>
      </c>
    </row>
    <row r="636" spans="1:12" x14ac:dyDescent="0.3">
      <c r="A636" t="s">
        <v>1663</v>
      </c>
      <c r="B636" t="s">
        <v>838</v>
      </c>
      <c r="C636" t="s">
        <v>1664</v>
      </c>
      <c r="D636" t="s">
        <v>106</v>
      </c>
      <c r="E636" t="s">
        <v>107</v>
      </c>
      <c r="F636" t="s">
        <v>14</v>
      </c>
      <c r="G636" t="s">
        <v>43</v>
      </c>
      <c r="H636">
        <v>7</v>
      </c>
      <c r="I636">
        <v>6500</v>
      </c>
      <c r="J636">
        <v>45500</v>
      </c>
      <c r="K636">
        <v>37310</v>
      </c>
      <c r="L636">
        <v>8190</v>
      </c>
    </row>
    <row r="637" spans="1:12" x14ac:dyDescent="0.3">
      <c r="A637" t="s">
        <v>1665</v>
      </c>
      <c r="B637" t="s">
        <v>841</v>
      </c>
      <c r="C637" t="s">
        <v>1666</v>
      </c>
      <c r="D637" t="s">
        <v>34</v>
      </c>
      <c r="E637" t="s">
        <v>24</v>
      </c>
      <c r="F637" t="s">
        <v>25</v>
      </c>
      <c r="G637" t="s">
        <v>15</v>
      </c>
      <c r="H637">
        <v>2</v>
      </c>
      <c r="I637">
        <v>3000</v>
      </c>
      <c r="J637">
        <v>6000</v>
      </c>
      <c r="K637">
        <v>4920</v>
      </c>
      <c r="L637">
        <v>1080</v>
      </c>
    </row>
    <row r="638" spans="1:12" x14ac:dyDescent="0.3">
      <c r="A638" t="s">
        <v>1667</v>
      </c>
      <c r="B638" t="s">
        <v>844</v>
      </c>
      <c r="C638" t="s">
        <v>1668</v>
      </c>
      <c r="D638" t="s">
        <v>30</v>
      </c>
      <c r="E638" t="s">
        <v>13</v>
      </c>
      <c r="F638" t="s">
        <v>25</v>
      </c>
      <c r="G638" t="s">
        <v>26</v>
      </c>
      <c r="H638">
        <v>3</v>
      </c>
      <c r="I638">
        <v>12000</v>
      </c>
      <c r="J638">
        <v>36000</v>
      </c>
      <c r="K638">
        <v>29520</v>
      </c>
      <c r="L638">
        <v>6480</v>
      </c>
    </row>
    <row r="639" spans="1:12" x14ac:dyDescent="0.3">
      <c r="A639" t="s">
        <v>1669</v>
      </c>
      <c r="B639" t="s">
        <v>847</v>
      </c>
      <c r="C639" t="s">
        <v>1670</v>
      </c>
      <c r="D639" t="s">
        <v>30</v>
      </c>
      <c r="E639" t="s">
        <v>13</v>
      </c>
      <c r="F639" t="s">
        <v>38</v>
      </c>
      <c r="G639" t="s">
        <v>84</v>
      </c>
      <c r="H639">
        <v>4</v>
      </c>
      <c r="I639">
        <v>12000</v>
      </c>
      <c r="J639">
        <v>48000</v>
      </c>
      <c r="K639">
        <v>39360</v>
      </c>
      <c r="L639">
        <v>8640</v>
      </c>
    </row>
    <row r="640" spans="1:12" x14ac:dyDescent="0.3">
      <c r="A640" t="s">
        <v>1671</v>
      </c>
      <c r="B640" t="s">
        <v>850</v>
      </c>
      <c r="C640" t="s">
        <v>1672</v>
      </c>
      <c r="D640" t="s">
        <v>50</v>
      </c>
      <c r="E640" t="s">
        <v>51</v>
      </c>
      <c r="F640" t="s">
        <v>38</v>
      </c>
      <c r="G640" t="s">
        <v>15</v>
      </c>
      <c r="H640">
        <v>7</v>
      </c>
      <c r="I640">
        <v>2200</v>
      </c>
      <c r="J640">
        <v>15400</v>
      </c>
      <c r="K640">
        <v>12628</v>
      </c>
      <c r="L640">
        <v>2772</v>
      </c>
    </row>
    <row r="641" spans="1:12" x14ac:dyDescent="0.3">
      <c r="A641" t="s">
        <v>1673</v>
      </c>
      <c r="B641" t="s">
        <v>853</v>
      </c>
      <c r="C641" t="s">
        <v>1674</v>
      </c>
      <c r="D641" t="s">
        <v>34</v>
      </c>
      <c r="E641" t="s">
        <v>24</v>
      </c>
      <c r="F641" t="s">
        <v>38</v>
      </c>
      <c r="G641" t="s">
        <v>19</v>
      </c>
      <c r="H641">
        <v>1</v>
      </c>
      <c r="I641">
        <v>3000</v>
      </c>
      <c r="J641">
        <v>3000</v>
      </c>
      <c r="K641">
        <v>2460</v>
      </c>
      <c r="L641">
        <v>540</v>
      </c>
    </row>
    <row r="642" spans="1:12" x14ac:dyDescent="0.3">
      <c r="A642" t="s">
        <v>1675</v>
      </c>
      <c r="B642" t="s">
        <v>856</v>
      </c>
      <c r="C642" t="s">
        <v>1676</v>
      </c>
      <c r="D642" t="s">
        <v>50</v>
      </c>
      <c r="E642" t="s">
        <v>51</v>
      </c>
      <c r="F642" t="s">
        <v>14</v>
      </c>
      <c r="G642" t="s">
        <v>26</v>
      </c>
      <c r="H642">
        <v>4</v>
      </c>
      <c r="I642">
        <v>2200</v>
      </c>
      <c r="J642">
        <v>8800</v>
      </c>
      <c r="K642">
        <v>7216</v>
      </c>
      <c r="L642">
        <v>1584</v>
      </c>
    </row>
    <row r="643" spans="1:12" x14ac:dyDescent="0.3">
      <c r="A643" t="s">
        <v>1677</v>
      </c>
      <c r="B643" t="s">
        <v>859</v>
      </c>
      <c r="C643" t="s">
        <v>1678</v>
      </c>
      <c r="D643" t="s">
        <v>30</v>
      </c>
      <c r="E643" t="s">
        <v>13</v>
      </c>
      <c r="F643" t="s">
        <v>52</v>
      </c>
      <c r="G643" t="s">
        <v>26</v>
      </c>
      <c r="H643">
        <v>2</v>
      </c>
      <c r="I643">
        <v>12000</v>
      </c>
      <c r="J643">
        <v>24000</v>
      </c>
      <c r="K643">
        <v>19680</v>
      </c>
      <c r="L643">
        <v>4320</v>
      </c>
    </row>
    <row r="644" spans="1:12" x14ac:dyDescent="0.3">
      <c r="A644" t="s">
        <v>1679</v>
      </c>
      <c r="B644" t="s">
        <v>862</v>
      </c>
      <c r="C644" t="s">
        <v>1680</v>
      </c>
      <c r="D644" t="s">
        <v>23</v>
      </c>
      <c r="E644" t="s">
        <v>24</v>
      </c>
      <c r="F644" t="s">
        <v>52</v>
      </c>
      <c r="G644" t="s">
        <v>15</v>
      </c>
      <c r="H644">
        <v>5</v>
      </c>
      <c r="I644">
        <v>800</v>
      </c>
      <c r="J644">
        <v>4000</v>
      </c>
      <c r="K644">
        <v>3280</v>
      </c>
      <c r="L644">
        <v>720</v>
      </c>
    </row>
    <row r="645" spans="1:12" x14ac:dyDescent="0.3">
      <c r="A645" t="s">
        <v>1681</v>
      </c>
      <c r="B645" t="s">
        <v>865</v>
      </c>
      <c r="C645" t="s">
        <v>1682</v>
      </c>
      <c r="D645" t="s">
        <v>34</v>
      </c>
      <c r="E645" t="s">
        <v>24</v>
      </c>
      <c r="F645" t="s">
        <v>25</v>
      </c>
      <c r="G645" t="s">
        <v>26</v>
      </c>
      <c r="H645">
        <v>3</v>
      </c>
      <c r="I645">
        <v>3000</v>
      </c>
      <c r="J645">
        <v>9000</v>
      </c>
      <c r="K645">
        <v>7380</v>
      </c>
      <c r="L645">
        <v>1620</v>
      </c>
    </row>
    <row r="646" spans="1:12" x14ac:dyDescent="0.3">
      <c r="A646" t="s">
        <v>1683</v>
      </c>
      <c r="B646" t="s">
        <v>868</v>
      </c>
      <c r="C646" t="s">
        <v>1684</v>
      </c>
      <c r="D646" t="s">
        <v>59</v>
      </c>
      <c r="E646" t="s">
        <v>24</v>
      </c>
      <c r="F646" t="s">
        <v>14</v>
      </c>
      <c r="G646" t="s">
        <v>19</v>
      </c>
      <c r="H646">
        <v>6</v>
      </c>
      <c r="I646">
        <v>1500</v>
      </c>
      <c r="J646">
        <v>9000</v>
      </c>
      <c r="K646">
        <v>7380</v>
      </c>
      <c r="L646">
        <v>1620</v>
      </c>
    </row>
    <row r="647" spans="1:12" x14ac:dyDescent="0.3">
      <c r="A647" t="s">
        <v>1685</v>
      </c>
      <c r="B647" t="s">
        <v>871</v>
      </c>
      <c r="C647" t="s">
        <v>1686</v>
      </c>
      <c r="D647" t="s">
        <v>59</v>
      </c>
      <c r="E647" t="s">
        <v>24</v>
      </c>
      <c r="F647" t="s">
        <v>14</v>
      </c>
      <c r="G647" t="s">
        <v>15</v>
      </c>
      <c r="H647">
        <v>7</v>
      </c>
      <c r="I647">
        <v>1500</v>
      </c>
      <c r="J647">
        <v>10500</v>
      </c>
      <c r="K647">
        <v>8610</v>
      </c>
      <c r="L647">
        <v>1890</v>
      </c>
    </row>
    <row r="648" spans="1:12" x14ac:dyDescent="0.3">
      <c r="A648" t="s">
        <v>1687</v>
      </c>
      <c r="B648" t="s">
        <v>874</v>
      </c>
      <c r="C648" t="s">
        <v>1688</v>
      </c>
      <c r="D648" t="s">
        <v>59</v>
      </c>
      <c r="E648" t="s">
        <v>24</v>
      </c>
      <c r="F648" t="s">
        <v>38</v>
      </c>
      <c r="G648" t="s">
        <v>19</v>
      </c>
      <c r="H648">
        <v>8</v>
      </c>
      <c r="I648">
        <v>1500</v>
      </c>
      <c r="J648">
        <v>12000</v>
      </c>
      <c r="K648">
        <v>9840</v>
      </c>
      <c r="L648">
        <v>2160</v>
      </c>
    </row>
    <row r="649" spans="1:12" x14ac:dyDescent="0.3">
      <c r="A649" t="s">
        <v>1689</v>
      </c>
      <c r="B649" t="s">
        <v>877</v>
      </c>
      <c r="C649" t="s">
        <v>1690</v>
      </c>
      <c r="D649" t="s">
        <v>106</v>
      </c>
      <c r="E649" t="s">
        <v>107</v>
      </c>
      <c r="F649" t="s">
        <v>52</v>
      </c>
      <c r="G649" t="s">
        <v>19</v>
      </c>
      <c r="H649">
        <v>7</v>
      </c>
      <c r="I649">
        <v>6500</v>
      </c>
      <c r="J649">
        <v>45500</v>
      </c>
      <c r="K649">
        <v>37310</v>
      </c>
      <c r="L649">
        <v>8190</v>
      </c>
    </row>
    <row r="650" spans="1:12" x14ac:dyDescent="0.3">
      <c r="A650" t="s">
        <v>1691</v>
      </c>
      <c r="B650" t="s">
        <v>880</v>
      </c>
      <c r="C650" t="s">
        <v>1692</v>
      </c>
      <c r="D650" t="s">
        <v>30</v>
      </c>
      <c r="E650" t="s">
        <v>13</v>
      </c>
      <c r="F650" t="s">
        <v>25</v>
      </c>
      <c r="G650" t="s">
        <v>26</v>
      </c>
      <c r="H650">
        <v>10</v>
      </c>
      <c r="I650">
        <v>12000</v>
      </c>
      <c r="J650">
        <v>120000</v>
      </c>
      <c r="K650">
        <v>98400</v>
      </c>
      <c r="L650">
        <v>21600</v>
      </c>
    </row>
    <row r="651" spans="1:12" x14ac:dyDescent="0.3">
      <c r="A651" t="s">
        <v>1693</v>
      </c>
      <c r="B651" t="s">
        <v>883</v>
      </c>
      <c r="C651" t="s">
        <v>1694</v>
      </c>
      <c r="D651" t="s">
        <v>30</v>
      </c>
      <c r="E651" t="s">
        <v>13</v>
      </c>
      <c r="F651" t="s">
        <v>25</v>
      </c>
      <c r="G651" t="s">
        <v>43</v>
      </c>
      <c r="H651">
        <v>8</v>
      </c>
      <c r="I651">
        <v>12000</v>
      </c>
      <c r="J651">
        <v>96000</v>
      </c>
      <c r="K651">
        <v>78720</v>
      </c>
      <c r="L651">
        <v>17280</v>
      </c>
    </row>
    <row r="652" spans="1:12" x14ac:dyDescent="0.3">
      <c r="A652" t="s">
        <v>1695</v>
      </c>
      <c r="B652" t="s">
        <v>886</v>
      </c>
      <c r="C652" t="s">
        <v>1696</v>
      </c>
      <c r="D652" t="s">
        <v>106</v>
      </c>
      <c r="E652" t="s">
        <v>107</v>
      </c>
      <c r="F652" t="s">
        <v>25</v>
      </c>
      <c r="G652" t="s">
        <v>26</v>
      </c>
      <c r="H652">
        <v>9</v>
      </c>
      <c r="I652">
        <v>6500</v>
      </c>
      <c r="J652">
        <v>58500</v>
      </c>
      <c r="K652">
        <v>47970</v>
      </c>
      <c r="L652">
        <v>10530</v>
      </c>
    </row>
    <row r="653" spans="1:12" x14ac:dyDescent="0.3">
      <c r="A653" t="s">
        <v>1697</v>
      </c>
      <c r="B653" t="s">
        <v>889</v>
      </c>
      <c r="C653" t="s">
        <v>1698</v>
      </c>
      <c r="D653" t="s">
        <v>42</v>
      </c>
      <c r="E653" t="s">
        <v>13</v>
      </c>
      <c r="F653" t="s">
        <v>25</v>
      </c>
      <c r="G653" t="s">
        <v>84</v>
      </c>
      <c r="H653">
        <v>9</v>
      </c>
      <c r="I653">
        <v>15000</v>
      </c>
      <c r="J653">
        <v>135000</v>
      </c>
      <c r="K653">
        <v>110700</v>
      </c>
      <c r="L653">
        <v>24300</v>
      </c>
    </row>
    <row r="654" spans="1:12" x14ac:dyDescent="0.3">
      <c r="A654" t="s">
        <v>1699</v>
      </c>
      <c r="B654" t="s">
        <v>892</v>
      </c>
      <c r="C654" t="s">
        <v>1700</v>
      </c>
      <c r="D654" t="s">
        <v>42</v>
      </c>
      <c r="E654" t="s">
        <v>13</v>
      </c>
      <c r="F654" t="s">
        <v>38</v>
      </c>
      <c r="G654" t="s">
        <v>43</v>
      </c>
      <c r="H654">
        <v>9</v>
      </c>
      <c r="I654">
        <v>15000</v>
      </c>
      <c r="J654">
        <v>135000</v>
      </c>
      <c r="K654">
        <v>110700</v>
      </c>
      <c r="L654">
        <v>24300</v>
      </c>
    </row>
    <row r="655" spans="1:12" x14ac:dyDescent="0.3">
      <c r="A655" t="s">
        <v>1701</v>
      </c>
      <c r="B655" t="s">
        <v>895</v>
      </c>
      <c r="C655" t="s">
        <v>1702</v>
      </c>
      <c r="D655" t="s">
        <v>30</v>
      </c>
      <c r="E655" t="s">
        <v>13</v>
      </c>
      <c r="F655" t="s">
        <v>38</v>
      </c>
      <c r="G655" t="s">
        <v>19</v>
      </c>
      <c r="H655">
        <v>5</v>
      </c>
      <c r="I655">
        <v>12000</v>
      </c>
      <c r="J655">
        <v>60000</v>
      </c>
      <c r="K655">
        <v>49200</v>
      </c>
      <c r="L655">
        <v>10800</v>
      </c>
    </row>
    <row r="656" spans="1:12" x14ac:dyDescent="0.3">
      <c r="A656" t="s">
        <v>1703</v>
      </c>
      <c r="B656" t="s">
        <v>898</v>
      </c>
      <c r="C656" t="s">
        <v>1704</v>
      </c>
      <c r="D656" t="s">
        <v>106</v>
      </c>
      <c r="E656" t="s">
        <v>107</v>
      </c>
      <c r="F656" t="s">
        <v>52</v>
      </c>
      <c r="G656" t="s">
        <v>43</v>
      </c>
      <c r="H656">
        <v>7</v>
      </c>
      <c r="I656">
        <v>6500</v>
      </c>
      <c r="J656">
        <v>45500</v>
      </c>
      <c r="K656">
        <v>37310</v>
      </c>
      <c r="L656">
        <v>8190</v>
      </c>
    </row>
    <row r="657" spans="1:12" x14ac:dyDescent="0.3">
      <c r="A657" t="s">
        <v>1705</v>
      </c>
      <c r="B657" t="s">
        <v>901</v>
      </c>
      <c r="C657" t="s">
        <v>1706</v>
      </c>
      <c r="D657" t="s">
        <v>23</v>
      </c>
      <c r="E657" t="s">
        <v>24</v>
      </c>
      <c r="F657" t="s">
        <v>14</v>
      </c>
      <c r="G657" t="s">
        <v>26</v>
      </c>
      <c r="H657">
        <v>8</v>
      </c>
      <c r="I657">
        <v>800</v>
      </c>
      <c r="J657">
        <v>6400</v>
      </c>
      <c r="K657">
        <v>5248</v>
      </c>
      <c r="L657">
        <v>1152</v>
      </c>
    </row>
    <row r="658" spans="1:12" x14ac:dyDescent="0.3">
      <c r="A658" t="s">
        <v>1707</v>
      </c>
      <c r="B658" t="s">
        <v>904</v>
      </c>
      <c r="C658" t="s">
        <v>1708</v>
      </c>
      <c r="D658" t="s">
        <v>12</v>
      </c>
      <c r="E658" t="s">
        <v>13</v>
      </c>
      <c r="F658" t="s">
        <v>25</v>
      </c>
      <c r="G658" t="s">
        <v>84</v>
      </c>
      <c r="H658">
        <v>6</v>
      </c>
      <c r="I658">
        <v>50000</v>
      </c>
      <c r="J658">
        <v>300000</v>
      </c>
      <c r="K658">
        <v>245999</v>
      </c>
      <c r="L658">
        <v>54001</v>
      </c>
    </row>
    <row r="659" spans="1:12" x14ac:dyDescent="0.3">
      <c r="A659" t="s">
        <v>1709</v>
      </c>
      <c r="B659" t="s">
        <v>907</v>
      </c>
      <c r="C659" t="s">
        <v>1710</v>
      </c>
      <c r="D659" t="s">
        <v>12</v>
      </c>
      <c r="E659" t="s">
        <v>13</v>
      </c>
      <c r="F659" t="s">
        <v>14</v>
      </c>
      <c r="G659" t="s">
        <v>15</v>
      </c>
      <c r="H659">
        <v>4</v>
      </c>
      <c r="I659">
        <v>50000</v>
      </c>
      <c r="J659">
        <v>200000</v>
      </c>
      <c r="K659">
        <v>164000</v>
      </c>
      <c r="L659">
        <v>36000</v>
      </c>
    </row>
    <row r="660" spans="1:12" x14ac:dyDescent="0.3">
      <c r="A660" t="s">
        <v>1711</v>
      </c>
      <c r="B660" t="s">
        <v>910</v>
      </c>
      <c r="C660" t="s">
        <v>1712</v>
      </c>
      <c r="D660" t="s">
        <v>12</v>
      </c>
      <c r="E660" t="s">
        <v>13</v>
      </c>
      <c r="F660" t="s">
        <v>25</v>
      </c>
      <c r="G660" t="s">
        <v>19</v>
      </c>
      <c r="H660">
        <v>1</v>
      </c>
      <c r="I660">
        <v>50000</v>
      </c>
      <c r="J660">
        <v>50000</v>
      </c>
      <c r="K660">
        <v>41000</v>
      </c>
      <c r="L660">
        <v>9000</v>
      </c>
    </row>
    <row r="661" spans="1:12" x14ac:dyDescent="0.3">
      <c r="A661" t="s">
        <v>1713</v>
      </c>
      <c r="B661" t="s">
        <v>913</v>
      </c>
      <c r="C661" t="s">
        <v>1714</v>
      </c>
      <c r="D661" t="s">
        <v>34</v>
      </c>
      <c r="E661" t="s">
        <v>24</v>
      </c>
      <c r="F661" t="s">
        <v>14</v>
      </c>
      <c r="G661" t="s">
        <v>26</v>
      </c>
      <c r="H661">
        <v>2</v>
      </c>
      <c r="I661">
        <v>3000</v>
      </c>
      <c r="J661">
        <v>6000</v>
      </c>
      <c r="K661">
        <v>4920</v>
      </c>
      <c r="L661">
        <v>1080</v>
      </c>
    </row>
    <row r="662" spans="1:12" x14ac:dyDescent="0.3">
      <c r="A662" t="s">
        <v>1715</v>
      </c>
      <c r="B662" t="s">
        <v>916</v>
      </c>
      <c r="C662" t="s">
        <v>1716</v>
      </c>
      <c r="D662" t="s">
        <v>30</v>
      </c>
      <c r="E662" t="s">
        <v>13</v>
      </c>
      <c r="F662" t="s">
        <v>25</v>
      </c>
      <c r="G662" t="s">
        <v>19</v>
      </c>
      <c r="H662">
        <v>10</v>
      </c>
      <c r="I662">
        <v>12000</v>
      </c>
      <c r="J662">
        <v>120000</v>
      </c>
      <c r="K662">
        <v>98400</v>
      </c>
      <c r="L662">
        <v>21600</v>
      </c>
    </row>
    <row r="663" spans="1:12" x14ac:dyDescent="0.3">
      <c r="A663" t="s">
        <v>1717</v>
      </c>
      <c r="B663" t="s">
        <v>919</v>
      </c>
      <c r="C663" t="s">
        <v>1718</v>
      </c>
      <c r="D663" t="s">
        <v>23</v>
      </c>
      <c r="E663" t="s">
        <v>24</v>
      </c>
      <c r="F663" t="s">
        <v>38</v>
      </c>
      <c r="G663" t="s">
        <v>43</v>
      </c>
      <c r="H663">
        <v>1</v>
      </c>
      <c r="I663">
        <v>800</v>
      </c>
      <c r="J663">
        <v>800</v>
      </c>
      <c r="K663">
        <v>656</v>
      </c>
      <c r="L663">
        <v>144</v>
      </c>
    </row>
    <row r="664" spans="1:12" x14ac:dyDescent="0.3">
      <c r="A664" t="s">
        <v>1719</v>
      </c>
      <c r="B664" t="s">
        <v>922</v>
      </c>
      <c r="C664" t="s">
        <v>1720</v>
      </c>
      <c r="D664" t="s">
        <v>34</v>
      </c>
      <c r="E664" t="s">
        <v>24</v>
      </c>
      <c r="F664" t="s">
        <v>52</v>
      </c>
      <c r="G664" t="s">
        <v>43</v>
      </c>
      <c r="H664">
        <v>3</v>
      </c>
      <c r="I664">
        <v>3000</v>
      </c>
      <c r="J664">
        <v>9000</v>
      </c>
      <c r="K664">
        <v>7380</v>
      </c>
      <c r="L664">
        <v>1620</v>
      </c>
    </row>
    <row r="665" spans="1:12" x14ac:dyDescent="0.3">
      <c r="A665" t="s">
        <v>1721</v>
      </c>
      <c r="B665" t="s">
        <v>925</v>
      </c>
      <c r="C665" t="s">
        <v>1722</v>
      </c>
      <c r="D665" t="s">
        <v>12</v>
      </c>
      <c r="E665" t="s">
        <v>13</v>
      </c>
      <c r="F665" t="s">
        <v>38</v>
      </c>
      <c r="G665" t="s">
        <v>84</v>
      </c>
      <c r="H665">
        <v>4</v>
      </c>
      <c r="I665">
        <v>50000</v>
      </c>
      <c r="J665">
        <v>200000</v>
      </c>
      <c r="K665">
        <v>164000</v>
      </c>
      <c r="L665">
        <v>36000</v>
      </c>
    </row>
    <row r="666" spans="1:12" x14ac:dyDescent="0.3">
      <c r="A666" t="s">
        <v>1723</v>
      </c>
      <c r="B666" t="s">
        <v>928</v>
      </c>
      <c r="C666" t="s">
        <v>1724</v>
      </c>
      <c r="D666" t="s">
        <v>106</v>
      </c>
      <c r="E666" t="s">
        <v>107</v>
      </c>
      <c r="F666" t="s">
        <v>38</v>
      </c>
      <c r="G666" t="s">
        <v>19</v>
      </c>
      <c r="H666">
        <v>8</v>
      </c>
      <c r="I666">
        <v>6500</v>
      </c>
      <c r="J666">
        <v>52000</v>
      </c>
      <c r="K666">
        <v>42640</v>
      </c>
      <c r="L666">
        <v>9360</v>
      </c>
    </row>
    <row r="667" spans="1:12" x14ac:dyDescent="0.3">
      <c r="A667" t="s">
        <v>1725</v>
      </c>
      <c r="B667" t="s">
        <v>931</v>
      </c>
      <c r="C667" t="s">
        <v>1726</v>
      </c>
      <c r="D667" t="s">
        <v>23</v>
      </c>
      <c r="E667" t="s">
        <v>24</v>
      </c>
      <c r="F667" t="s">
        <v>52</v>
      </c>
      <c r="G667" t="s">
        <v>84</v>
      </c>
      <c r="H667">
        <v>2</v>
      </c>
      <c r="I667">
        <v>800</v>
      </c>
      <c r="J667">
        <v>1600</v>
      </c>
      <c r="K667">
        <v>1312</v>
      </c>
      <c r="L667">
        <v>288</v>
      </c>
    </row>
    <row r="668" spans="1:12" x14ac:dyDescent="0.3">
      <c r="A668" t="s">
        <v>1727</v>
      </c>
      <c r="B668" t="s">
        <v>934</v>
      </c>
      <c r="C668" t="s">
        <v>1728</v>
      </c>
      <c r="D668" t="s">
        <v>30</v>
      </c>
      <c r="E668" t="s">
        <v>13</v>
      </c>
      <c r="F668" t="s">
        <v>52</v>
      </c>
      <c r="G668" t="s">
        <v>26</v>
      </c>
      <c r="H668">
        <v>10</v>
      </c>
      <c r="I668">
        <v>12000</v>
      </c>
      <c r="J668">
        <v>120000</v>
      </c>
      <c r="K668">
        <v>98400</v>
      </c>
      <c r="L668">
        <v>21600</v>
      </c>
    </row>
    <row r="669" spans="1:12" x14ac:dyDescent="0.3">
      <c r="A669" t="s">
        <v>1729</v>
      </c>
      <c r="B669" t="s">
        <v>937</v>
      </c>
      <c r="C669" t="s">
        <v>1730</v>
      </c>
      <c r="D669" t="s">
        <v>30</v>
      </c>
      <c r="E669" t="s">
        <v>13</v>
      </c>
      <c r="F669" t="s">
        <v>14</v>
      </c>
      <c r="G669" t="s">
        <v>15</v>
      </c>
      <c r="H669">
        <v>9</v>
      </c>
      <c r="I669">
        <v>12000</v>
      </c>
      <c r="J669">
        <v>108000</v>
      </c>
      <c r="K669">
        <v>88560</v>
      </c>
      <c r="L669">
        <v>19440</v>
      </c>
    </row>
    <row r="670" spans="1:12" x14ac:dyDescent="0.3">
      <c r="A670" t="s">
        <v>1731</v>
      </c>
      <c r="B670" t="s">
        <v>940</v>
      </c>
      <c r="C670" t="s">
        <v>1732</v>
      </c>
      <c r="D670" t="s">
        <v>42</v>
      </c>
      <c r="E670" t="s">
        <v>13</v>
      </c>
      <c r="F670" t="s">
        <v>38</v>
      </c>
      <c r="G670" t="s">
        <v>43</v>
      </c>
      <c r="H670">
        <v>5</v>
      </c>
      <c r="I670">
        <v>15000</v>
      </c>
      <c r="J670">
        <v>75000</v>
      </c>
      <c r="K670">
        <v>61499</v>
      </c>
      <c r="L670">
        <v>13501</v>
      </c>
    </row>
    <row r="671" spans="1:12" x14ac:dyDescent="0.3">
      <c r="A671" t="s">
        <v>1733</v>
      </c>
      <c r="B671" t="s">
        <v>943</v>
      </c>
      <c r="C671" t="s">
        <v>1734</v>
      </c>
      <c r="D671" t="s">
        <v>106</v>
      </c>
      <c r="E671" t="s">
        <v>107</v>
      </c>
      <c r="F671" t="s">
        <v>38</v>
      </c>
      <c r="G671" t="s">
        <v>43</v>
      </c>
      <c r="H671">
        <v>10</v>
      </c>
      <c r="I671">
        <v>6500</v>
      </c>
      <c r="J671">
        <v>65000</v>
      </c>
      <c r="K671">
        <v>53300</v>
      </c>
      <c r="L671">
        <v>11700</v>
      </c>
    </row>
    <row r="672" spans="1:12" x14ac:dyDescent="0.3">
      <c r="A672" t="s">
        <v>1735</v>
      </c>
      <c r="B672" t="s">
        <v>946</v>
      </c>
      <c r="C672" t="s">
        <v>1736</v>
      </c>
      <c r="D672" t="s">
        <v>50</v>
      </c>
      <c r="E672" t="s">
        <v>51</v>
      </c>
      <c r="F672" t="s">
        <v>14</v>
      </c>
      <c r="G672" t="s">
        <v>19</v>
      </c>
      <c r="H672">
        <v>2</v>
      </c>
      <c r="I672">
        <v>2200</v>
      </c>
      <c r="J672">
        <v>4400</v>
      </c>
      <c r="K672">
        <v>3608</v>
      </c>
      <c r="L672">
        <v>792</v>
      </c>
    </row>
    <row r="673" spans="1:12" x14ac:dyDescent="0.3">
      <c r="A673" t="s">
        <v>1737</v>
      </c>
      <c r="B673" t="s">
        <v>949</v>
      </c>
      <c r="C673" t="s">
        <v>1738</v>
      </c>
      <c r="D673" t="s">
        <v>23</v>
      </c>
      <c r="E673" t="s">
        <v>24</v>
      </c>
      <c r="F673" t="s">
        <v>38</v>
      </c>
      <c r="G673" t="s">
        <v>26</v>
      </c>
      <c r="H673">
        <v>10</v>
      </c>
      <c r="I673">
        <v>800</v>
      </c>
      <c r="J673">
        <v>8000</v>
      </c>
      <c r="K673">
        <v>6560</v>
      </c>
      <c r="L673">
        <v>1440</v>
      </c>
    </row>
    <row r="674" spans="1:12" x14ac:dyDescent="0.3">
      <c r="A674" t="s">
        <v>1739</v>
      </c>
      <c r="B674" t="s">
        <v>952</v>
      </c>
      <c r="C674" t="s">
        <v>1740</v>
      </c>
      <c r="D674" t="s">
        <v>30</v>
      </c>
      <c r="E674" t="s">
        <v>13</v>
      </c>
      <c r="F674" t="s">
        <v>25</v>
      </c>
      <c r="G674" t="s">
        <v>15</v>
      </c>
      <c r="H674">
        <v>5</v>
      </c>
      <c r="I674">
        <v>12000</v>
      </c>
      <c r="J674">
        <v>60000</v>
      </c>
      <c r="K674">
        <v>49200</v>
      </c>
      <c r="L674">
        <v>10800</v>
      </c>
    </row>
    <row r="675" spans="1:12" x14ac:dyDescent="0.3">
      <c r="A675" t="s">
        <v>1741</v>
      </c>
      <c r="B675" t="s">
        <v>955</v>
      </c>
      <c r="C675" t="s">
        <v>1742</v>
      </c>
      <c r="D675" t="s">
        <v>12</v>
      </c>
      <c r="E675" t="s">
        <v>13</v>
      </c>
      <c r="F675" t="s">
        <v>38</v>
      </c>
      <c r="G675" t="s">
        <v>84</v>
      </c>
      <c r="H675">
        <v>5</v>
      </c>
      <c r="I675">
        <v>50000</v>
      </c>
      <c r="J675">
        <v>250000</v>
      </c>
      <c r="K675">
        <v>205000</v>
      </c>
      <c r="L675">
        <v>45000</v>
      </c>
    </row>
    <row r="676" spans="1:12" x14ac:dyDescent="0.3">
      <c r="A676" t="s">
        <v>1743</v>
      </c>
      <c r="B676" t="s">
        <v>958</v>
      </c>
      <c r="C676" t="s">
        <v>1744</v>
      </c>
      <c r="D676" t="s">
        <v>50</v>
      </c>
      <c r="E676" t="s">
        <v>51</v>
      </c>
      <c r="F676" t="s">
        <v>38</v>
      </c>
      <c r="G676" t="s">
        <v>43</v>
      </c>
      <c r="H676">
        <v>9</v>
      </c>
      <c r="I676">
        <v>2200</v>
      </c>
      <c r="J676">
        <v>19800</v>
      </c>
      <c r="K676">
        <v>16235</v>
      </c>
      <c r="L676">
        <v>3565</v>
      </c>
    </row>
    <row r="677" spans="1:12" x14ac:dyDescent="0.3">
      <c r="A677" t="s">
        <v>1745</v>
      </c>
      <c r="B677" t="s">
        <v>961</v>
      </c>
      <c r="C677" t="s">
        <v>1746</v>
      </c>
      <c r="D677" t="s">
        <v>106</v>
      </c>
      <c r="E677" t="s">
        <v>107</v>
      </c>
      <c r="F677" t="s">
        <v>25</v>
      </c>
      <c r="G677" t="s">
        <v>43</v>
      </c>
      <c r="H677">
        <v>4</v>
      </c>
      <c r="I677">
        <v>6500</v>
      </c>
      <c r="J677">
        <v>26000</v>
      </c>
      <c r="K677">
        <v>21320</v>
      </c>
      <c r="L677">
        <v>4680</v>
      </c>
    </row>
    <row r="678" spans="1:12" x14ac:dyDescent="0.3">
      <c r="A678" t="s">
        <v>1747</v>
      </c>
      <c r="B678" t="s">
        <v>964</v>
      </c>
      <c r="C678" t="s">
        <v>1748</v>
      </c>
      <c r="D678" t="s">
        <v>42</v>
      </c>
      <c r="E678" t="s">
        <v>13</v>
      </c>
      <c r="F678" t="s">
        <v>38</v>
      </c>
      <c r="G678" t="s">
        <v>84</v>
      </c>
      <c r="H678">
        <v>4</v>
      </c>
      <c r="I678">
        <v>15000</v>
      </c>
      <c r="J678">
        <v>60000</v>
      </c>
      <c r="K678">
        <v>49200</v>
      </c>
      <c r="L678">
        <v>10800</v>
      </c>
    </row>
    <row r="679" spans="1:12" x14ac:dyDescent="0.3">
      <c r="A679" t="s">
        <v>1749</v>
      </c>
      <c r="B679" t="s">
        <v>967</v>
      </c>
      <c r="C679" t="s">
        <v>1750</v>
      </c>
      <c r="D679" t="s">
        <v>34</v>
      </c>
      <c r="E679" t="s">
        <v>24</v>
      </c>
      <c r="F679" t="s">
        <v>52</v>
      </c>
      <c r="G679" t="s">
        <v>15</v>
      </c>
      <c r="H679">
        <v>6</v>
      </c>
      <c r="I679">
        <v>3000</v>
      </c>
      <c r="J679">
        <v>18000</v>
      </c>
      <c r="K679">
        <v>14760</v>
      </c>
      <c r="L679">
        <v>3240</v>
      </c>
    </row>
    <row r="680" spans="1:12" x14ac:dyDescent="0.3">
      <c r="A680" t="s">
        <v>1751</v>
      </c>
      <c r="B680" t="s">
        <v>970</v>
      </c>
      <c r="C680" t="s">
        <v>1752</v>
      </c>
      <c r="D680" t="s">
        <v>34</v>
      </c>
      <c r="E680" t="s">
        <v>24</v>
      </c>
      <c r="F680" t="s">
        <v>14</v>
      </c>
      <c r="G680" t="s">
        <v>15</v>
      </c>
      <c r="H680">
        <v>4</v>
      </c>
      <c r="I680">
        <v>3000</v>
      </c>
      <c r="J680">
        <v>12000</v>
      </c>
      <c r="K680">
        <v>9840</v>
      </c>
      <c r="L680">
        <v>2160</v>
      </c>
    </row>
    <row r="681" spans="1:12" x14ac:dyDescent="0.3">
      <c r="A681" t="s">
        <v>1753</v>
      </c>
      <c r="B681" t="s">
        <v>973</v>
      </c>
      <c r="C681" t="s">
        <v>1754</v>
      </c>
      <c r="D681" t="s">
        <v>42</v>
      </c>
      <c r="E681" t="s">
        <v>13</v>
      </c>
      <c r="F681" t="s">
        <v>14</v>
      </c>
      <c r="G681" t="s">
        <v>15</v>
      </c>
      <c r="H681">
        <v>6</v>
      </c>
      <c r="I681">
        <v>15000</v>
      </c>
      <c r="J681">
        <v>90000</v>
      </c>
      <c r="K681">
        <v>73800</v>
      </c>
      <c r="L681">
        <v>16200</v>
      </c>
    </row>
    <row r="682" spans="1:12" x14ac:dyDescent="0.3">
      <c r="A682" t="s">
        <v>1755</v>
      </c>
      <c r="B682" t="s">
        <v>976</v>
      </c>
      <c r="C682" t="s">
        <v>1756</v>
      </c>
      <c r="D682" t="s">
        <v>30</v>
      </c>
      <c r="E682" t="s">
        <v>13</v>
      </c>
      <c r="F682" t="s">
        <v>14</v>
      </c>
      <c r="G682" t="s">
        <v>15</v>
      </c>
      <c r="H682">
        <v>5</v>
      </c>
      <c r="I682">
        <v>12000</v>
      </c>
      <c r="J682">
        <v>60000</v>
      </c>
      <c r="K682">
        <v>49200</v>
      </c>
      <c r="L682">
        <v>10800</v>
      </c>
    </row>
    <row r="683" spans="1:12" x14ac:dyDescent="0.3">
      <c r="A683" t="s">
        <v>1757</v>
      </c>
      <c r="B683" t="s">
        <v>979</v>
      </c>
      <c r="C683" t="s">
        <v>1758</v>
      </c>
      <c r="D683" t="s">
        <v>12</v>
      </c>
      <c r="E683" t="s">
        <v>13</v>
      </c>
      <c r="F683" t="s">
        <v>14</v>
      </c>
      <c r="G683" t="s">
        <v>84</v>
      </c>
      <c r="H683">
        <v>8</v>
      </c>
      <c r="I683">
        <v>50000</v>
      </c>
      <c r="J683">
        <v>400000</v>
      </c>
      <c r="K683">
        <v>328000</v>
      </c>
      <c r="L683">
        <v>72000</v>
      </c>
    </row>
    <row r="684" spans="1:12" x14ac:dyDescent="0.3">
      <c r="A684" t="s">
        <v>1759</v>
      </c>
      <c r="B684" t="s">
        <v>982</v>
      </c>
      <c r="C684" t="s">
        <v>1760</v>
      </c>
      <c r="D684" t="s">
        <v>59</v>
      </c>
      <c r="E684" t="s">
        <v>24</v>
      </c>
      <c r="F684" t="s">
        <v>14</v>
      </c>
      <c r="G684" t="s">
        <v>15</v>
      </c>
      <c r="H684">
        <v>5</v>
      </c>
      <c r="I684">
        <v>1500</v>
      </c>
      <c r="J684">
        <v>7500</v>
      </c>
      <c r="K684">
        <v>6150</v>
      </c>
      <c r="L684">
        <v>1350</v>
      </c>
    </row>
    <row r="685" spans="1:12" x14ac:dyDescent="0.3">
      <c r="A685" t="s">
        <v>1761</v>
      </c>
      <c r="B685" t="s">
        <v>985</v>
      </c>
      <c r="C685" t="s">
        <v>1762</v>
      </c>
      <c r="D685" t="s">
        <v>12</v>
      </c>
      <c r="E685" t="s">
        <v>13</v>
      </c>
      <c r="F685" t="s">
        <v>14</v>
      </c>
      <c r="G685" t="s">
        <v>26</v>
      </c>
      <c r="H685">
        <v>3</v>
      </c>
      <c r="I685">
        <v>50000</v>
      </c>
      <c r="J685">
        <v>150000</v>
      </c>
      <c r="K685">
        <v>122999</v>
      </c>
      <c r="L685">
        <v>27001</v>
      </c>
    </row>
    <row r="686" spans="1:12" x14ac:dyDescent="0.3">
      <c r="A686" t="s">
        <v>1763</v>
      </c>
      <c r="B686" t="s">
        <v>988</v>
      </c>
      <c r="C686" t="s">
        <v>1764</v>
      </c>
      <c r="D686" t="s">
        <v>23</v>
      </c>
      <c r="E686" t="s">
        <v>24</v>
      </c>
      <c r="F686" t="s">
        <v>38</v>
      </c>
      <c r="G686" t="s">
        <v>15</v>
      </c>
      <c r="H686">
        <v>2</v>
      </c>
      <c r="I686">
        <v>800</v>
      </c>
      <c r="J686">
        <v>1600</v>
      </c>
      <c r="K686">
        <v>1312</v>
      </c>
      <c r="L686">
        <v>288</v>
      </c>
    </row>
    <row r="687" spans="1:12" x14ac:dyDescent="0.3">
      <c r="A687" t="s">
        <v>1765</v>
      </c>
      <c r="B687" t="s">
        <v>991</v>
      </c>
      <c r="C687" t="s">
        <v>1766</v>
      </c>
      <c r="D687" t="s">
        <v>12</v>
      </c>
      <c r="E687" t="s">
        <v>13</v>
      </c>
      <c r="F687" t="s">
        <v>38</v>
      </c>
      <c r="G687" t="s">
        <v>15</v>
      </c>
      <c r="H687">
        <v>6</v>
      </c>
      <c r="I687">
        <v>50000</v>
      </c>
      <c r="J687">
        <v>300000</v>
      </c>
      <c r="K687">
        <v>245999</v>
      </c>
      <c r="L687">
        <v>54001</v>
      </c>
    </row>
    <row r="688" spans="1:12" x14ac:dyDescent="0.3">
      <c r="A688" t="s">
        <v>1767</v>
      </c>
      <c r="B688" t="s">
        <v>994</v>
      </c>
      <c r="C688" t="s">
        <v>1768</v>
      </c>
      <c r="D688" t="s">
        <v>50</v>
      </c>
      <c r="E688" t="s">
        <v>51</v>
      </c>
      <c r="F688" t="s">
        <v>14</v>
      </c>
      <c r="G688" t="s">
        <v>26</v>
      </c>
      <c r="H688">
        <v>5</v>
      </c>
      <c r="I688">
        <v>2200</v>
      </c>
      <c r="J688">
        <v>11000</v>
      </c>
      <c r="K688">
        <v>9020</v>
      </c>
      <c r="L688">
        <v>1980</v>
      </c>
    </row>
    <row r="689" spans="1:12" x14ac:dyDescent="0.3">
      <c r="A689" t="s">
        <v>1769</v>
      </c>
      <c r="B689" t="s">
        <v>997</v>
      </c>
      <c r="C689" t="s">
        <v>1770</v>
      </c>
      <c r="D689" t="s">
        <v>30</v>
      </c>
      <c r="E689" t="s">
        <v>13</v>
      </c>
      <c r="F689" t="s">
        <v>14</v>
      </c>
      <c r="G689" t="s">
        <v>19</v>
      </c>
      <c r="H689">
        <v>6</v>
      </c>
      <c r="I689">
        <v>12000</v>
      </c>
      <c r="J689">
        <v>72000</v>
      </c>
      <c r="K689">
        <v>59040</v>
      </c>
      <c r="L689">
        <v>12960</v>
      </c>
    </row>
    <row r="690" spans="1:12" x14ac:dyDescent="0.3">
      <c r="A690" t="s">
        <v>1771</v>
      </c>
      <c r="B690" t="s">
        <v>1000</v>
      </c>
      <c r="C690" t="s">
        <v>1772</v>
      </c>
      <c r="D690" t="s">
        <v>59</v>
      </c>
      <c r="E690" t="s">
        <v>24</v>
      </c>
      <c r="F690" t="s">
        <v>25</v>
      </c>
      <c r="G690" t="s">
        <v>15</v>
      </c>
      <c r="H690">
        <v>5</v>
      </c>
      <c r="I690">
        <v>1500</v>
      </c>
      <c r="J690">
        <v>7500</v>
      </c>
      <c r="K690">
        <v>6150</v>
      </c>
      <c r="L690">
        <v>1350</v>
      </c>
    </row>
    <row r="691" spans="1:12" x14ac:dyDescent="0.3">
      <c r="A691" t="s">
        <v>1773</v>
      </c>
      <c r="B691" t="s">
        <v>1003</v>
      </c>
      <c r="C691" t="s">
        <v>1774</v>
      </c>
      <c r="D691" t="s">
        <v>50</v>
      </c>
      <c r="E691" t="s">
        <v>51</v>
      </c>
      <c r="F691" t="s">
        <v>25</v>
      </c>
      <c r="G691" t="s">
        <v>19</v>
      </c>
      <c r="H691">
        <v>5</v>
      </c>
      <c r="I691">
        <v>2200</v>
      </c>
      <c r="J691">
        <v>11000</v>
      </c>
      <c r="K691">
        <v>9020</v>
      </c>
      <c r="L691">
        <v>1980</v>
      </c>
    </row>
    <row r="692" spans="1:12" x14ac:dyDescent="0.3">
      <c r="A692" t="s">
        <v>1775</v>
      </c>
      <c r="B692" t="s">
        <v>1006</v>
      </c>
      <c r="C692" t="s">
        <v>1776</v>
      </c>
      <c r="D692" t="s">
        <v>50</v>
      </c>
      <c r="E692" t="s">
        <v>51</v>
      </c>
      <c r="F692" t="s">
        <v>25</v>
      </c>
      <c r="G692" t="s">
        <v>26</v>
      </c>
      <c r="H692">
        <v>7</v>
      </c>
      <c r="I692">
        <v>2200</v>
      </c>
      <c r="J692">
        <v>15400</v>
      </c>
      <c r="K692">
        <v>12628</v>
      </c>
      <c r="L692">
        <v>2772</v>
      </c>
    </row>
    <row r="693" spans="1:12" x14ac:dyDescent="0.3">
      <c r="A693" t="s">
        <v>1777</v>
      </c>
      <c r="B693" t="s">
        <v>1009</v>
      </c>
      <c r="C693" t="s">
        <v>1778</v>
      </c>
      <c r="D693" t="s">
        <v>59</v>
      </c>
      <c r="E693" t="s">
        <v>24</v>
      </c>
      <c r="F693" t="s">
        <v>52</v>
      </c>
      <c r="G693" t="s">
        <v>19</v>
      </c>
      <c r="H693">
        <v>7</v>
      </c>
      <c r="I693">
        <v>1500</v>
      </c>
      <c r="J693">
        <v>10500</v>
      </c>
      <c r="K693">
        <v>8610</v>
      </c>
      <c r="L693">
        <v>1890</v>
      </c>
    </row>
    <row r="694" spans="1:12" x14ac:dyDescent="0.3">
      <c r="A694" t="s">
        <v>1779</v>
      </c>
      <c r="B694" t="s">
        <v>1012</v>
      </c>
      <c r="C694" t="s">
        <v>1780</v>
      </c>
      <c r="D694" t="s">
        <v>42</v>
      </c>
      <c r="E694" t="s">
        <v>13</v>
      </c>
      <c r="F694" t="s">
        <v>38</v>
      </c>
      <c r="G694" t="s">
        <v>84</v>
      </c>
      <c r="H694">
        <v>4</v>
      </c>
      <c r="I694">
        <v>15000</v>
      </c>
      <c r="J694">
        <v>60000</v>
      </c>
      <c r="K694">
        <v>49200</v>
      </c>
      <c r="L694">
        <v>10800</v>
      </c>
    </row>
    <row r="695" spans="1:12" x14ac:dyDescent="0.3">
      <c r="A695" t="s">
        <v>1781</v>
      </c>
      <c r="B695" t="s">
        <v>1015</v>
      </c>
      <c r="C695" t="s">
        <v>1782</v>
      </c>
      <c r="D695" t="s">
        <v>50</v>
      </c>
      <c r="E695" t="s">
        <v>51</v>
      </c>
      <c r="F695" t="s">
        <v>52</v>
      </c>
      <c r="G695" t="s">
        <v>43</v>
      </c>
      <c r="H695">
        <v>8</v>
      </c>
      <c r="I695">
        <v>2200</v>
      </c>
      <c r="J695">
        <v>17600</v>
      </c>
      <c r="K695">
        <v>14432</v>
      </c>
      <c r="L695">
        <v>3168</v>
      </c>
    </row>
    <row r="696" spans="1:12" x14ac:dyDescent="0.3">
      <c r="A696" t="s">
        <v>1783</v>
      </c>
      <c r="B696" t="s">
        <v>1018</v>
      </c>
      <c r="C696" t="s">
        <v>1784</v>
      </c>
      <c r="D696" t="s">
        <v>23</v>
      </c>
      <c r="E696" t="s">
        <v>24</v>
      </c>
      <c r="F696" t="s">
        <v>25</v>
      </c>
      <c r="G696" t="s">
        <v>43</v>
      </c>
      <c r="H696">
        <v>3</v>
      </c>
      <c r="I696">
        <v>800</v>
      </c>
      <c r="J696">
        <v>2400</v>
      </c>
      <c r="K696">
        <v>1967</v>
      </c>
      <c r="L696">
        <v>433</v>
      </c>
    </row>
    <row r="697" spans="1:12" x14ac:dyDescent="0.3">
      <c r="A697" t="s">
        <v>1785</v>
      </c>
      <c r="B697" t="s">
        <v>1021</v>
      </c>
      <c r="C697" t="s">
        <v>1786</v>
      </c>
      <c r="D697" t="s">
        <v>59</v>
      </c>
      <c r="E697" t="s">
        <v>24</v>
      </c>
      <c r="F697" t="s">
        <v>14</v>
      </c>
      <c r="G697" t="s">
        <v>43</v>
      </c>
      <c r="H697">
        <v>3</v>
      </c>
      <c r="I697">
        <v>1500</v>
      </c>
      <c r="J697">
        <v>4500</v>
      </c>
      <c r="K697">
        <v>3690</v>
      </c>
      <c r="L697">
        <v>810</v>
      </c>
    </row>
    <row r="698" spans="1:12" x14ac:dyDescent="0.3">
      <c r="A698" t="s">
        <v>1787</v>
      </c>
      <c r="B698" t="s">
        <v>1024</v>
      </c>
      <c r="C698" t="s">
        <v>1788</v>
      </c>
      <c r="D698" t="s">
        <v>30</v>
      </c>
      <c r="E698" t="s">
        <v>13</v>
      </c>
      <c r="F698" t="s">
        <v>25</v>
      </c>
      <c r="G698" t="s">
        <v>26</v>
      </c>
      <c r="H698">
        <v>9</v>
      </c>
      <c r="I698">
        <v>12000</v>
      </c>
      <c r="J698">
        <v>108000</v>
      </c>
      <c r="K698">
        <v>88560</v>
      </c>
      <c r="L698">
        <v>19440</v>
      </c>
    </row>
    <row r="699" spans="1:12" x14ac:dyDescent="0.3">
      <c r="A699" t="s">
        <v>1789</v>
      </c>
      <c r="B699" t="s">
        <v>1027</v>
      </c>
      <c r="C699" t="s">
        <v>1790</v>
      </c>
      <c r="D699" t="s">
        <v>23</v>
      </c>
      <c r="E699" t="s">
        <v>24</v>
      </c>
      <c r="F699" t="s">
        <v>25</v>
      </c>
      <c r="G699" t="s">
        <v>15</v>
      </c>
      <c r="H699">
        <v>7</v>
      </c>
      <c r="I699">
        <v>800</v>
      </c>
      <c r="J699">
        <v>5600</v>
      </c>
      <c r="K699">
        <v>4592</v>
      </c>
      <c r="L699">
        <v>1008</v>
      </c>
    </row>
    <row r="700" spans="1:12" x14ac:dyDescent="0.3">
      <c r="A700" t="s">
        <v>1791</v>
      </c>
      <c r="B700" t="s">
        <v>1030</v>
      </c>
      <c r="C700" t="s">
        <v>1792</v>
      </c>
      <c r="D700" t="s">
        <v>30</v>
      </c>
      <c r="E700" t="s">
        <v>13</v>
      </c>
      <c r="F700" t="s">
        <v>14</v>
      </c>
      <c r="G700" t="s">
        <v>43</v>
      </c>
      <c r="H700">
        <v>2</v>
      </c>
      <c r="I700">
        <v>12000</v>
      </c>
      <c r="J700">
        <v>24000</v>
      </c>
      <c r="K700">
        <v>19680</v>
      </c>
      <c r="L700">
        <v>4320</v>
      </c>
    </row>
    <row r="701" spans="1:12" x14ac:dyDescent="0.3">
      <c r="A701" t="s">
        <v>1793</v>
      </c>
      <c r="B701" t="s">
        <v>1033</v>
      </c>
      <c r="C701" t="s">
        <v>1794</v>
      </c>
      <c r="D701" t="s">
        <v>59</v>
      </c>
      <c r="E701" t="s">
        <v>24</v>
      </c>
      <c r="F701" t="s">
        <v>25</v>
      </c>
      <c r="G701" t="s">
        <v>43</v>
      </c>
      <c r="H701">
        <v>9</v>
      </c>
      <c r="I701">
        <v>1500</v>
      </c>
      <c r="J701">
        <v>13500</v>
      </c>
      <c r="K701">
        <v>11070</v>
      </c>
      <c r="L701">
        <v>2430</v>
      </c>
    </row>
    <row r="702" spans="1:12" x14ac:dyDescent="0.3">
      <c r="A702" t="s">
        <v>1795</v>
      </c>
      <c r="B702" t="s">
        <v>1036</v>
      </c>
      <c r="C702" t="s">
        <v>1796</v>
      </c>
      <c r="D702" t="s">
        <v>12</v>
      </c>
      <c r="E702" t="s">
        <v>13</v>
      </c>
      <c r="F702" t="s">
        <v>14</v>
      </c>
      <c r="G702" t="s">
        <v>15</v>
      </c>
      <c r="H702">
        <v>5</v>
      </c>
      <c r="I702">
        <v>50000</v>
      </c>
      <c r="J702">
        <v>250000</v>
      </c>
      <c r="K702">
        <v>205000</v>
      </c>
      <c r="L702">
        <v>45000</v>
      </c>
    </row>
    <row r="703" spans="1:12" x14ac:dyDescent="0.3">
      <c r="A703" t="s">
        <v>1797</v>
      </c>
      <c r="B703" t="s">
        <v>1039</v>
      </c>
      <c r="C703" t="s">
        <v>1798</v>
      </c>
      <c r="D703" t="s">
        <v>42</v>
      </c>
      <c r="E703" t="s">
        <v>13</v>
      </c>
      <c r="F703" t="s">
        <v>14</v>
      </c>
      <c r="G703" t="s">
        <v>26</v>
      </c>
      <c r="H703">
        <v>9</v>
      </c>
      <c r="I703">
        <v>15000</v>
      </c>
      <c r="J703">
        <v>135000</v>
      </c>
      <c r="K703">
        <v>110700</v>
      </c>
      <c r="L703">
        <v>24300</v>
      </c>
    </row>
    <row r="704" spans="1:12" x14ac:dyDescent="0.3">
      <c r="A704" t="s">
        <v>1799</v>
      </c>
      <c r="B704" t="s">
        <v>1042</v>
      </c>
      <c r="C704" t="s">
        <v>1800</v>
      </c>
      <c r="D704" t="s">
        <v>50</v>
      </c>
      <c r="E704" t="s">
        <v>51</v>
      </c>
      <c r="F704" t="s">
        <v>25</v>
      </c>
      <c r="G704" t="s">
        <v>26</v>
      </c>
      <c r="H704">
        <v>10</v>
      </c>
      <c r="I704">
        <v>2200</v>
      </c>
      <c r="J704">
        <v>22000</v>
      </c>
      <c r="K704">
        <v>18040</v>
      </c>
      <c r="L704">
        <v>3960</v>
      </c>
    </row>
    <row r="705" spans="1:12" x14ac:dyDescent="0.3">
      <c r="A705" t="s">
        <v>1801</v>
      </c>
      <c r="B705" t="s">
        <v>1045</v>
      </c>
      <c r="C705" t="s">
        <v>1802</v>
      </c>
      <c r="D705" t="s">
        <v>12</v>
      </c>
      <c r="E705" t="s">
        <v>13</v>
      </c>
      <c r="F705" t="s">
        <v>38</v>
      </c>
      <c r="G705" t="s">
        <v>19</v>
      </c>
      <c r="H705">
        <v>5</v>
      </c>
      <c r="I705">
        <v>50000</v>
      </c>
      <c r="J705">
        <v>250000</v>
      </c>
      <c r="K705">
        <v>205000</v>
      </c>
      <c r="L705">
        <v>45000</v>
      </c>
    </row>
    <row r="706" spans="1:12" x14ac:dyDescent="0.3">
      <c r="A706" t="s">
        <v>1803</v>
      </c>
      <c r="B706" t="s">
        <v>1048</v>
      </c>
      <c r="C706" t="s">
        <v>1804</v>
      </c>
      <c r="D706" t="s">
        <v>12</v>
      </c>
      <c r="E706" t="s">
        <v>13</v>
      </c>
      <c r="F706" t="s">
        <v>38</v>
      </c>
      <c r="G706" t="s">
        <v>84</v>
      </c>
      <c r="H706">
        <v>7</v>
      </c>
      <c r="I706">
        <v>50000</v>
      </c>
      <c r="J706">
        <v>350000</v>
      </c>
      <c r="K706">
        <v>287000</v>
      </c>
      <c r="L706">
        <v>63000</v>
      </c>
    </row>
    <row r="707" spans="1:12" x14ac:dyDescent="0.3">
      <c r="A707" t="s">
        <v>1805</v>
      </c>
      <c r="B707" t="s">
        <v>1051</v>
      </c>
      <c r="C707" t="s">
        <v>1806</v>
      </c>
      <c r="D707" t="s">
        <v>106</v>
      </c>
      <c r="E707" t="s">
        <v>107</v>
      </c>
      <c r="F707" t="s">
        <v>38</v>
      </c>
      <c r="G707" t="s">
        <v>26</v>
      </c>
      <c r="H707">
        <v>6</v>
      </c>
      <c r="I707">
        <v>6500</v>
      </c>
      <c r="J707">
        <v>39000</v>
      </c>
      <c r="K707">
        <v>31979</v>
      </c>
      <c r="L707">
        <v>7021</v>
      </c>
    </row>
    <row r="708" spans="1:12" x14ac:dyDescent="0.3">
      <c r="A708" t="s">
        <v>1807</v>
      </c>
      <c r="B708" t="s">
        <v>1054</v>
      </c>
      <c r="C708" t="s">
        <v>1808</v>
      </c>
      <c r="D708" t="s">
        <v>34</v>
      </c>
      <c r="E708" t="s">
        <v>24</v>
      </c>
      <c r="F708" t="s">
        <v>14</v>
      </c>
      <c r="G708" t="s">
        <v>19</v>
      </c>
      <c r="H708">
        <v>2</v>
      </c>
      <c r="I708">
        <v>3000</v>
      </c>
      <c r="J708">
        <v>6000</v>
      </c>
      <c r="K708">
        <v>4920</v>
      </c>
      <c r="L708">
        <v>1080</v>
      </c>
    </row>
    <row r="709" spans="1:12" x14ac:dyDescent="0.3">
      <c r="A709" t="s">
        <v>1809</v>
      </c>
      <c r="B709" t="s">
        <v>1057</v>
      </c>
      <c r="C709" t="s">
        <v>1810</v>
      </c>
      <c r="D709" t="s">
        <v>23</v>
      </c>
      <c r="E709" t="s">
        <v>24</v>
      </c>
      <c r="F709" t="s">
        <v>14</v>
      </c>
      <c r="G709" t="s">
        <v>84</v>
      </c>
      <c r="H709">
        <v>8</v>
      </c>
      <c r="I709">
        <v>800</v>
      </c>
      <c r="J709">
        <v>6400</v>
      </c>
      <c r="K709">
        <v>5248</v>
      </c>
      <c r="L709">
        <v>1152</v>
      </c>
    </row>
    <row r="710" spans="1:12" x14ac:dyDescent="0.3">
      <c r="A710" t="s">
        <v>1811</v>
      </c>
      <c r="B710" t="s">
        <v>1060</v>
      </c>
      <c r="C710" t="s">
        <v>1812</v>
      </c>
      <c r="D710" t="s">
        <v>30</v>
      </c>
      <c r="E710" t="s">
        <v>13</v>
      </c>
      <c r="F710" t="s">
        <v>25</v>
      </c>
      <c r="G710" t="s">
        <v>19</v>
      </c>
      <c r="H710">
        <v>6</v>
      </c>
      <c r="I710">
        <v>12000</v>
      </c>
      <c r="J710">
        <v>72000</v>
      </c>
      <c r="K710">
        <v>59040</v>
      </c>
      <c r="L710">
        <v>12960</v>
      </c>
    </row>
    <row r="711" spans="1:12" x14ac:dyDescent="0.3">
      <c r="A711" t="s">
        <v>1813</v>
      </c>
      <c r="B711" t="s">
        <v>1063</v>
      </c>
      <c r="C711" t="s">
        <v>1814</v>
      </c>
      <c r="D711" t="s">
        <v>50</v>
      </c>
      <c r="E711" t="s">
        <v>51</v>
      </c>
      <c r="F711" t="s">
        <v>25</v>
      </c>
      <c r="G711" t="s">
        <v>43</v>
      </c>
      <c r="H711">
        <v>4</v>
      </c>
      <c r="I711">
        <v>2200</v>
      </c>
      <c r="J711">
        <v>8800</v>
      </c>
      <c r="K711">
        <v>7216</v>
      </c>
      <c r="L711">
        <v>1584</v>
      </c>
    </row>
    <row r="712" spans="1:12" x14ac:dyDescent="0.3">
      <c r="A712" t="s">
        <v>1815</v>
      </c>
      <c r="B712" t="s">
        <v>1066</v>
      </c>
      <c r="C712" t="s">
        <v>1816</v>
      </c>
      <c r="D712" t="s">
        <v>23</v>
      </c>
      <c r="E712" t="s">
        <v>24</v>
      </c>
      <c r="F712" t="s">
        <v>38</v>
      </c>
      <c r="G712" t="s">
        <v>19</v>
      </c>
      <c r="H712">
        <v>3</v>
      </c>
      <c r="I712">
        <v>800</v>
      </c>
      <c r="J712">
        <v>2400</v>
      </c>
      <c r="K712">
        <v>1967</v>
      </c>
      <c r="L712">
        <v>433</v>
      </c>
    </row>
    <row r="713" spans="1:12" x14ac:dyDescent="0.3">
      <c r="A713" t="s">
        <v>1817</v>
      </c>
      <c r="B713" t="s">
        <v>1069</v>
      </c>
      <c r="C713" t="s">
        <v>1818</v>
      </c>
      <c r="D713" t="s">
        <v>50</v>
      </c>
      <c r="E713" t="s">
        <v>51</v>
      </c>
      <c r="F713" t="s">
        <v>14</v>
      </c>
      <c r="G713" t="s">
        <v>19</v>
      </c>
      <c r="H713">
        <v>1</v>
      </c>
      <c r="I713">
        <v>2200</v>
      </c>
      <c r="J713">
        <v>2200</v>
      </c>
      <c r="K713">
        <v>1804</v>
      </c>
      <c r="L713">
        <v>396</v>
      </c>
    </row>
    <row r="714" spans="1:12" x14ac:dyDescent="0.3">
      <c r="A714" t="s">
        <v>1819</v>
      </c>
      <c r="B714" t="s">
        <v>1072</v>
      </c>
      <c r="C714" t="s">
        <v>1820</v>
      </c>
      <c r="D714" t="s">
        <v>106</v>
      </c>
      <c r="E714" t="s">
        <v>107</v>
      </c>
      <c r="F714" t="s">
        <v>38</v>
      </c>
      <c r="G714" t="s">
        <v>43</v>
      </c>
      <c r="H714">
        <v>1</v>
      </c>
      <c r="I714">
        <v>6500</v>
      </c>
      <c r="J714">
        <v>6500</v>
      </c>
      <c r="K714">
        <v>5330</v>
      </c>
      <c r="L714">
        <v>1170</v>
      </c>
    </row>
    <row r="715" spans="1:12" x14ac:dyDescent="0.3">
      <c r="A715" t="s">
        <v>1821</v>
      </c>
      <c r="B715" t="s">
        <v>1075</v>
      </c>
      <c r="C715" t="s">
        <v>1822</v>
      </c>
      <c r="D715" t="s">
        <v>30</v>
      </c>
      <c r="E715" t="s">
        <v>13</v>
      </c>
      <c r="F715" t="s">
        <v>52</v>
      </c>
      <c r="G715" t="s">
        <v>26</v>
      </c>
      <c r="H715">
        <v>7</v>
      </c>
      <c r="I715">
        <v>12000</v>
      </c>
      <c r="J715">
        <v>84000</v>
      </c>
      <c r="K715">
        <v>68880</v>
      </c>
      <c r="L715">
        <v>15120</v>
      </c>
    </row>
    <row r="716" spans="1:12" x14ac:dyDescent="0.3">
      <c r="A716" t="s">
        <v>1823</v>
      </c>
      <c r="B716" t="s">
        <v>1078</v>
      </c>
      <c r="C716" t="s">
        <v>1824</v>
      </c>
      <c r="D716" t="s">
        <v>30</v>
      </c>
      <c r="E716" t="s">
        <v>13</v>
      </c>
      <c r="F716" t="s">
        <v>14</v>
      </c>
      <c r="G716" t="s">
        <v>19</v>
      </c>
      <c r="H716">
        <v>5</v>
      </c>
      <c r="I716">
        <v>12000</v>
      </c>
      <c r="J716">
        <v>60000</v>
      </c>
      <c r="K716">
        <v>49200</v>
      </c>
      <c r="L716">
        <v>10800</v>
      </c>
    </row>
    <row r="717" spans="1:12" x14ac:dyDescent="0.3">
      <c r="A717" t="s">
        <v>1825</v>
      </c>
      <c r="B717" t="s">
        <v>1081</v>
      </c>
      <c r="C717" t="s">
        <v>1826</v>
      </c>
      <c r="D717" t="s">
        <v>106</v>
      </c>
      <c r="E717" t="s">
        <v>107</v>
      </c>
      <c r="F717" t="s">
        <v>25</v>
      </c>
      <c r="G717" t="s">
        <v>19</v>
      </c>
      <c r="H717">
        <v>3</v>
      </c>
      <c r="I717">
        <v>6500</v>
      </c>
      <c r="J717">
        <v>19500</v>
      </c>
      <c r="K717">
        <v>15989</v>
      </c>
      <c r="L717">
        <v>3511</v>
      </c>
    </row>
    <row r="718" spans="1:12" x14ac:dyDescent="0.3">
      <c r="A718" t="s">
        <v>1827</v>
      </c>
      <c r="B718" t="s">
        <v>1084</v>
      </c>
      <c r="C718" t="s">
        <v>1828</v>
      </c>
      <c r="D718" t="s">
        <v>30</v>
      </c>
      <c r="E718" t="s">
        <v>13</v>
      </c>
      <c r="F718" t="s">
        <v>25</v>
      </c>
      <c r="G718" t="s">
        <v>43</v>
      </c>
      <c r="H718">
        <v>6</v>
      </c>
      <c r="I718">
        <v>12000</v>
      </c>
      <c r="J718">
        <v>72000</v>
      </c>
      <c r="K718">
        <v>59040</v>
      </c>
      <c r="L718">
        <v>12960</v>
      </c>
    </row>
    <row r="719" spans="1:12" x14ac:dyDescent="0.3">
      <c r="A719" t="s">
        <v>1829</v>
      </c>
      <c r="B719" t="s">
        <v>1087</v>
      </c>
      <c r="C719" t="s">
        <v>1830</v>
      </c>
      <c r="D719" t="s">
        <v>50</v>
      </c>
      <c r="E719" t="s">
        <v>51</v>
      </c>
      <c r="F719" t="s">
        <v>52</v>
      </c>
      <c r="G719" t="s">
        <v>43</v>
      </c>
      <c r="H719">
        <v>2</v>
      </c>
      <c r="I719">
        <v>2200</v>
      </c>
      <c r="J719">
        <v>4400</v>
      </c>
      <c r="K719">
        <v>3608</v>
      </c>
      <c r="L719">
        <v>792</v>
      </c>
    </row>
    <row r="720" spans="1:12" x14ac:dyDescent="0.3">
      <c r="A720" t="s">
        <v>1831</v>
      </c>
      <c r="B720" t="s">
        <v>1090</v>
      </c>
      <c r="C720" t="s">
        <v>1832</v>
      </c>
      <c r="D720" t="s">
        <v>59</v>
      </c>
      <c r="E720" t="s">
        <v>24</v>
      </c>
      <c r="F720" t="s">
        <v>25</v>
      </c>
      <c r="G720" t="s">
        <v>15</v>
      </c>
      <c r="H720">
        <v>5</v>
      </c>
      <c r="I720">
        <v>1500</v>
      </c>
      <c r="J720">
        <v>7500</v>
      </c>
      <c r="K720">
        <v>6150</v>
      </c>
      <c r="L720">
        <v>1350</v>
      </c>
    </row>
    <row r="721" spans="1:12" x14ac:dyDescent="0.3">
      <c r="A721" t="s">
        <v>1833</v>
      </c>
      <c r="B721" t="s">
        <v>1093</v>
      </c>
      <c r="C721" t="s">
        <v>1834</v>
      </c>
      <c r="D721" t="s">
        <v>30</v>
      </c>
      <c r="E721" t="s">
        <v>13</v>
      </c>
      <c r="F721" t="s">
        <v>52</v>
      </c>
      <c r="G721" t="s">
        <v>43</v>
      </c>
      <c r="H721">
        <v>2</v>
      </c>
      <c r="I721">
        <v>12000</v>
      </c>
      <c r="J721">
        <v>24000</v>
      </c>
      <c r="K721">
        <v>19680</v>
      </c>
      <c r="L721">
        <v>4320</v>
      </c>
    </row>
    <row r="722" spans="1:12" x14ac:dyDescent="0.3">
      <c r="A722" t="s">
        <v>1835</v>
      </c>
      <c r="B722" t="s">
        <v>1096</v>
      </c>
      <c r="C722" t="s">
        <v>1836</v>
      </c>
      <c r="D722" t="s">
        <v>50</v>
      </c>
      <c r="E722" t="s">
        <v>51</v>
      </c>
      <c r="F722" t="s">
        <v>14</v>
      </c>
      <c r="G722" t="s">
        <v>19</v>
      </c>
      <c r="H722">
        <v>2</v>
      </c>
      <c r="I722">
        <v>2200</v>
      </c>
      <c r="J722">
        <v>4400</v>
      </c>
      <c r="K722">
        <v>3608</v>
      </c>
      <c r="L722">
        <v>792</v>
      </c>
    </row>
    <row r="723" spans="1:12" x14ac:dyDescent="0.3">
      <c r="A723" t="s">
        <v>1837</v>
      </c>
      <c r="B723" t="s">
        <v>1099</v>
      </c>
      <c r="C723" t="s">
        <v>1838</v>
      </c>
      <c r="D723" t="s">
        <v>106</v>
      </c>
      <c r="E723" t="s">
        <v>107</v>
      </c>
      <c r="F723" t="s">
        <v>25</v>
      </c>
      <c r="G723" t="s">
        <v>19</v>
      </c>
      <c r="H723">
        <v>2</v>
      </c>
      <c r="I723">
        <v>6500</v>
      </c>
      <c r="J723">
        <v>13000</v>
      </c>
      <c r="K723">
        <v>10660</v>
      </c>
      <c r="L723">
        <v>2340</v>
      </c>
    </row>
    <row r="724" spans="1:12" x14ac:dyDescent="0.3">
      <c r="A724" t="s">
        <v>1839</v>
      </c>
      <c r="B724" t="s">
        <v>1102</v>
      </c>
      <c r="C724" t="s">
        <v>1840</v>
      </c>
      <c r="D724" t="s">
        <v>42</v>
      </c>
      <c r="E724" t="s">
        <v>13</v>
      </c>
      <c r="F724" t="s">
        <v>14</v>
      </c>
      <c r="G724" t="s">
        <v>43</v>
      </c>
      <c r="H724">
        <v>7</v>
      </c>
      <c r="I724">
        <v>15000</v>
      </c>
      <c r="J724">
        <v>105000</v>
      </c>
      <c r="K724">
        <v>86100</v>
      </c>
      <c r="L724">
        <v>18900</v>
      </c>
    </row>
    <row r="725" spans="1:12" x14ac:dyDescent="0.3">
      <c r="A725" t="s">
        <v>1841</v>
      </c>
      <c r="B725" t="s">
        <v>1105</v>
      </c>
      <c r="C725" t="s">
        <v>1842</v>
      </c>
      <c r="D725" t="s">
        <v>23</v>
      </c>
      <c r="E725" t="s">
        <v>24</v>
      </c>
      <c r="F725" t="s">
        <v>52</v>
      </c>
      <c r="G725" t="s">
        <v>43</v>
      </c>
      <c r="H725">
        <v>8</v>
      </c>
      <c r="I725">
        <v>800</v>
      </c>
      <c r="J725">
        <v>6400</v>
      </c>
      <c r="K725">
        <v>5248</v>
      </c>
      <c r="L725">
        <v>1152</v>
      </c>
    </row>
    <row r="726" spans="1:12" x14ac:dyDescent="0.3">
      <c r="A726" t="s">
        <v>1843</v>
      </c>
      <c r="B726" t="s">
        <v>1108</v>
      </c>
      <c r="C726" t="s">
        <v>1844</v>
      </c>
      <c r="D726" t="s">
        <v>12</v>
      </c>
      <c r="E726" t="s">
        <v>13</v>
      </c>
      <c r="F726" t="s">
        <v>38</v>
      </c>
      <c r="G726" t="s">
        <v>84</v>
      </c>
      <c r="H726">
        <v>5</v>
      </c>
      <c r="I726">
        <v>50000</v>
      </c>
      <c r="J726">
        <v>250000</v>
      </c>
      <c r="K726">
        <v>205000</v>
      </c>
      <c r="L726">
        <v>45000</v>
      </c>
    </row>
    <row r="727" spans="1:12" x14ac:dyDescent="0.3">
      <c r="A727" t="s">
        <v>1845</v>
      </c>
      <c r="B727" t="s">
        <v>1111</v>
      </c>
      <c r="C727" t="s">
        <v>1846</v>
      </c>
      <c r="D727" t="s">
        <v>50</v>
      </c>
      <c r="E727" t="s">
        <v>51</v>
      </c>
      <c r="F727" t="s">
        <v>25</v>
      </c>
      <c r="G727" t="s">
        <v>84</v>
      </c>
      <c r="H727">
        <v>6</v>
      </c>
      <c r="I727">
        <v>2200</v>
      </c>
      <c r="J727">
        <v>13200</v>
      </c>
      <c r="K727">
        <v>10824</v>
      </c>
      <c r="L727">
        <v>2376</v>
      </c>
    </row>
    <row r="728" spans="1:12" x14ac:dyDescent="0.3">
      <c r="A728" t="s">
        <v>1847</v>
      </c>
      <c r="B728" t="s">
        <v>1114</v>
      </c>
      <c r="C728" t="s">
        <v>1848</v>
      </c>
      <c r="D728" t="s">
        <v>30</v>
      </c>
      <c r="E728" t="s">
        <v>13</v>
      </c>
      <c r="F728" t="s">
        <v>52</v>
      </c>
      <c r="G728" t="s">
        <v>19</v>
      </c>
      <c r="H728">
        <v>4</v>
      </c>
      <c r="I728">
        <v>12000</v>
      </c>
      <c r="J728">
        <v>48000</v>
      </c>
      <c r="K728">
        <v>39360</v>
      </c>
      <c r="L728">
        <v>8640</v>
      </c>
    </row>
    <row r="729" spans="1:12" x14ac:dyDescent="0.3">
      <c r="A729" t="s">
        <v>1849</v>
      </c>
      <c r="B729" t="s">
        <v>1117</v>
      </c>
      <c r="C729" t="s">
        <v>1850</v>
      </c>
      <c r="D729" t="s">
        <v>30</v>
      </c>
      <c r="E729" t="s">
        <v>13</v>
      </c>
      <c r="F729" t="s">
        <v>38</v>
      </c>
      <c r="G729" t="s">
        <v>26</v>
      </c>
      <c r="H729">
        <v>2</v>
      </c>
      <c r="I729">
        <v>12000</v>
      </c>
      <c r="J729">
        <v>24000</v>
      </c>
      <c r="K729">
        <v>19680</v>
      </c>
      <c r="L729">
        <v>4320</v>
      </c>
    </row>
    <row r="730" spans="1:12" x14ac:dyDescent="0.3">
      <c r="A730" t="s">
        <v>1851</v>
      </c>
      <c r="B730" t="s">
        <v>1120</v>
      </c>
      <c r="C730" t="s">
        <v>1852</v>
      </c>
      <c r="D730" t="s">
        <v>106</v>
      </c>
      <c r="E730" t="s">
        <v>107</v>
      </c>
      <c r="F730" t="s">
        <v>38</v>
      </c>
      <c r="G730" t="s">
        <v>43</v>
      </c>
      <c r="H730">
        <v>1</v>
      </c>
      <c r="I730">
        <v>6500</v>
      </c>
      <c r="J730">
        <v>6500</v>
      </c>
      <c r="K730">
        <v>5330</v>
      </c>
      <c r="L730">
        <v>1170</v>
      </c>
    </row>
    <row r="731" spans="1:12" x14ac:dyDescent="0.3">
      <c r="A731" t="s">
        <v>1853</v>
      </c>
      <c r="B731" t="s">
        <v>1123</v>
      </c>
      <c r="C731" t="s">
        <v>1854</v>
      </c>
      <c r="D731" t="s">
        <v>30</v>
      </c>
      <c r="E731" t="s">
        <v>13</v>
      </c>
      <c r="F731" t="s">
        <v>25</v>
      </c>
      <c r="G731" t="s">
        <v>43</v>
      </c>
      <c r="H731">
        <v>4</v>
      </c>
      <c r="I731">
        <v>12000</v>
      </c>
      <c r="J731">
        <v>48000</v>
      </c>
      <c r="K731">
        <v>39360</v>
      </c>
      <c r="L731">
        <v>8640</v>
      </c>
    </row>
    <row r="732" spans="1:12" x14ac:dyDescent="0.3">
      <c r="A732" t="s">
        <v>1855</v>
      </c>
      <c r="B732" t="s">
        <v>11</v>
      </c>
      <c r="C732" t="s">
        <v>1856</v>
      </c>
      <c r="D732" t="s">
        <v>50</v>
      </c>
      <c r="E732" t="s">
        <v>51</v>
      </c>
      <c r="F732" t="s">
        <v>14</v>
      </c>
      <c r="G732" t="s">
        <v>19</v>
      </c>
      <c r="H732">
        <v>10</v>
      </c>
      <c r="I732">
        <v>2200</v>
      </c>
      <c r="J732">
        <v>22000</v>
      </c>
      <c r="K732">
        <v>18040</v>
      </c>
      <c r="L732">
        <v>3960</v>
      </c>
    </row>
    <row r="733" spans="1:12" x14ac:dyDescent="0.3">
      <c r="A733" t="s">
        <v>1857</v>
      </c>
      <c r="B733" t="s">
        <v>17</v>
      </c>
      <c r="C733" t="s">
        <v>1858</v>
      </c>
      <c r="D733" t="s">
        <v>12</v>
      </c>
      <c r="E733" t="s">
        <v>13</v>
      </c>
      <c r="F733" t="s">
        <v>52</v>
      </c>
      <c r="G733" t="s">
        <v>19</v>
      </c>
      <c r="H733">
        <v>2</v>
      </c>
      <c r="I733">
        <v>50000</v>
      </c>
      <c r="J733">
        <v>100000</v>
      </c>
      <c r="K733">
        <v>82000</v>
      </c>
      <c r="L733">
        <v>18000</v>
      </c>
    </row>
    <row r="734" spans="1:12" x14ac:dyDescent="0.3">
      <c r="A734" t="s">
        <v>1859</v>
      </c>
      <c r="B734" t="s">
        <v>21</v>
      </c>
      <c r="C734" t="s">
        <v>1860</v>
      </c>
      <c r="D734" t="s">
        <v>30</v>
      </c>
      <c r="E734" t="s">
        <v>13</v>
      </c>
      <c r="F734" t="s">
        <v>14</v>
      </c>
      <c r="G734" t="s">
        <v>43</v>
      </c>
      <c r="H734">
        <v>2</v>
      </c>
      <c r="I734">
        <v>12000</v>
      </c>
      <c r="J734">
        <v>24000</v>
      </c>
      <c r="K734">
        <v>19680</v>
      </c>
      <c r="L734">
        <v>4320</v>
      </c>
    </row>
    <row r="735" spans="1:12" x14ac:dyDescent="0.3">
      <c r="A735" t="s">
        <v>1861</v>
      </c>
      <c r="B735" t="s">
        <v>28</v>
      </c>
      <c r="C735" t="s">
        <v>1862</v>
      </c>
      <c r="D735" t="s">
        <v>12</v>
      </c>
      <c r="E735" t="s">
        <v>13</v>
      </c>
      <c r="F735" t="s">
        <v>25</v>
      </c>
      <c r="G735" t="s">
        <v>43</v>
      </c>
      <c r="H735">
        <v>8</v>
      </c>
      <c r="I735">
        <v>50000</v>
      </c>
      <c r="J735">
        <v>400000</v>
      </c>
      <c r="K735">
        <v>328000</v>
      </c>
      <c r="L735">
        <v>72000</v>
      </c>
    </row>
    <row r="736" spans="1:12" x14ac:dyDescent="0.3">
      <c r="A736" t="s">
        <v>1863</v>
      </c>
      <c r="B736" t="s">
        <v>32</v>
      </c>
      <c r="C736" t="s">
        <v>1864</v>
      </c>
      <c r="D736" t="s">
        <v>23</v>
      </c>
      <c r="E736" t="s">
        <v>24</v>
      </c>
      <c r="F736" t="s">
        <v>52</v>
      </c>
      <c r="G736" t="s">
        <v>19</v>
      </c>
      <c r="H736">
        <v>9</v>
      </c>
      <c r="I736">
        <v>800</v>
      </c>
      <c r="J736">
        <v>7200</v>
      </c>
      <c r="K736">
        <v>5904</v>
      </c>
      <c r="L736">
        <v>1296</v>
      </c>
    </row>
    <row r="737" spans="1:12" x14ac:dyDescent="0.3">
      <c r="A737" t="s">
        <v>1865</v>
      </c>
      <c r="B737" t="s">
        <v>36</v>
      </c>
      <c r="C737" t="s">
        <v>1866</v>
      </c>
      <c r="D737" t="s">
        <v>34</v>
      </c>
      <c r="E737" t="s">
        <v>24</v>
      </c>
      <c r="F737" t="s">
        <v>25</v>
      </c>
      <c r="G737" t="s">
        <v>26</v>
      </c>
      <c r="H737">
        <v>2</v>
      </c>
      <c r="I737">
        <v>3000</v>
      </c>
      <c r="J737">
        <v>6000</v>
      </c>
      <c r="K737">
        <v>4920</v>
      </c>
      <c r="L737">
        <v>1080</v>
      </c>
    </row>
    <row r="738" spans="1:12" x14ac:dyDescent="0.3">
      <c r="A738" t="s">
        <v>1867</v>
      </c>
      <c r="B738" t="s">
        <v>40</v>
      </c>
      <c r="C738" t="s">
        <v>1868</v>
      </c>
      <c r="D738" t="s">
        <v>23</v>
      </c>
      <c r="E738" t="s">
        <v>24</v>
      </c>
      <c r="F738" t="s">
        <v>25</v>
      </c>
      <c r="G738" t="s">
        <v>19</v>
      </c>
      <c r="H738">
        <v>2</v>
      </c>
      <c r="I738">
        <v>800</v>
      </c>
      <c r="J738">
        <v>1600</v>
      </c>
      <c r="K738">
        <v>1312</v>
      </c>
      <c r="L738">
        <v>288</v>
      </c>
    </row>
    <row r="739" spans="1:12" x14ac:dyDescent="0.3">
      <c r="A739" t="s">
        <v>1869</v>
      </c>
      <c r="B739" t="s">
        <v>45</v>
      </c>
      <c r="C739" t="s">
        <v>1870</v>
      </c>
      <c r="D739" t="s">
        <v>50</v>
      </c>
      <c r="E739" t="s">
        <v>51</v>
      </c>
      <c r="F739" t="s">
        <v>52</v>
      </c>
      <c r="G739" t="s">
        <v>84</v>
      </c>
      <c r="H739">
        <v>7</v>
      </c>
      <c r="I739">
        <v>2200</v>
      </c>
      <c r="J739">
        <v>15400</v>
      </c>
      <c r="K739">
        <v>12628</v>
      </c>
      <c r="L739">
        <v>2772</v>
      </c>
    </row>
    <row r="740" spans="1:12" x14ac:dyDescent="0.3">
      <c r="A740" t="s">
        <v>1871</v>
      </c>
      <c r="B740" t="s">
        <v>48</v>
      </c>
      <c r="C740" t="s">
        <v>1872</v>
      </c>
      <c r="D740" t="s">
        <v>50</v>
      </c>
      <c r="E740" t="s">
        <v>51</v>
      </c>
      <c r="F740" t="s">
        <v>38</v>
      </c>
      <c r="G740" t="s">
        <v>84</v>
      </c>
      <c r="H740">
        <v>3</v>
      </c>
      <c r="I740">
        <v>2200</v>
      </c>
      <c r="J740">
        <v>6600</v>
      </c>
      <c r="K740">
        <v>5412</v>
      </c>
      <c r="L740">
        <v>1188</v>
      </c>
    </row>
    <row r="741" spans="1:12" x14ac:dyDescent="0.3">
      <c r="A741" t="s">
        <v>1873</v>
      </c>
      <c r="B741" t="s">
        <v>54</v>
      </c>
      <c r="C741" t="s">
        <v>1874</v>
      </c>
      <c r="D741" t="s">
        <v>59</v>
      </c>
      <c r="E741" t="s">
        <v>24</v>
      </c>
      <c r="F741" t="s">
        <v>14</v>
      </c>
      <c r="G741" t="s">
        <v>15</v>
      </c>
      <c r="H741">
        <v>7</v>
      </c>
      <c r="I741">
        <v>1500</v>
      </c>
      <c r="J741">
        <v>10500</v>
      </c>
      <c r="K741">
        <v>8610</v>
      </c>
      <c r="L741">
        <v>1890</v>
      </c>
    </row>
    <row r="742" spans="1:12" x14ac:dyDescent="0.3">
      <c r="A742" t="s">
        <v>1875</v>
      </c>
      <c r="B742" t="s">
        <v>57</v>
      </c>
      <c r="C742" t="s">
        <v>1876</v>
      </c>
      <c r="D742" t="s">
        <v>30</v>
      </c>
      <c r="E742" t="s">
        <v>13</v>
      </c>
      <c r="F742" t="s">
        <v>52</v>
      </c>
      <c r="G742" t="s">
        <v>26</v>
      </c>
      <c r="H742">
        <v>2</v>
      </c>
      <c r="I742">
        <v>12000</v>
      </c>
      <c r="J742">
        <v>24000</v>
      </c>
      <c r="K742">
        <v>19680</v>
      </c>
      <c r="L742">
        <v>4320</v>
      </c>
    </row>
    <row r="743" spans="1:12" x14ac:dyDescent="0.3">
      <c r="A743" t="s">
        <v>1877</v>
      </c>
      <c r="B743" t="s">
        <v>61</v>
      </c>
      <c r="C743" t="s">
        <v>1878</v>
      </c>
      <c r="D743" t="s">
        <v>50</v>
      </c>
      <c r="E743" t="s">
        <v>51</v>
      </c>
      <c r="F743" t="s">
        <v>52</v>
      </c>
      <c r="G743" t="s">
        <v>26</v>
      </c>
      <c r="H743">
        <v>3</v>
      </c>
      <c r="I743">
        <v>2200</v>
      </c>
      <c r="J743">
        <v>6600</v>
      </c>
      <c r="K743">
        <v>5412</v>
      </c>
      <c r="L743">
        <v>1188</v>
      </c>
    </row>
    <row r="744" spans="1:12" x14ac:dyDescent="0.3">
      <c r="A744" t="s">
        <v>1879</v>
      </c>
      <c r="B744" t="s">
        <v>64</v>
      </c>
      <c r="C744" t="s">
        <v>1880</v>
      </c>
      <c r="D744" t="s">
        <v>106</v>
      </c>
      <c r="E744" t="s">
        <v>107</v>
      </c>
      <c r="F744" t="s">
        <v>14</v>
      </c>
      <c r="G744" t="s">
        <v>43</v>
      </c>
      <c r="H744">
        <v>9</v>
      </c>
      <c r="I744">
        <v>6500</v>
      </c>
      <c r="J744">
        <v>58500</v>
      </c>
      <c r="K744">
        <v>47970</v>
      </c>
      <c r="L744">
        <v>10530</v>
      </c>
    </row>
    <row r="745" spans="1:12" x14ac:dyDescent="0.3">
      <c r="A745" t="s">
        <v>1881</v>
      </c>
      <c r="B745" t="s">
        <v>67</v>
      </c>
      <c r="C745" t="s">
        <v>1882</v>
      </c>
      <c r="D745" t="s">
        <v>50</v>
      </c>
      <c r="E745" t="s">
        <v>51</v>
      </c>
      <c r="F745" t="s">
        <v>14</v>
      </c>
      <c r="G745" t="s">
        <v>43</v>
      </c>
      <c r="H745">
        <v>3</v>
      </c>
      <c r="I745">
        <v>2200</v>
      </c>
      <c r="J745">
        <v>6600</v>
      </c>
      <c r="K745">
        <v>5412</v>
      </c>
      <c r="L745">
        <v>1188</v>
      </c>
    </row>
    <row r="746" spans="1:12" x14ac:dyDescent="0.3">
      <c r="A746" t="s">
        <v>1883</v>
      </c>
      <c r="B746" t="s">
        <v>70</v>
      </c>
      <c r="C746" t="s">
        <v>1884</v>
      </c>
      <c r="D746" t="s">
        <v>12</v>
      </c>
      <c r="E746" t="s">
        <v>13</v>
      </c>
      <c r="F746" t="s">
        <v>38</v>
      </c>
      <c r="G746" t="s">
        <v>19</v>
      </c>
      <c r="H746">
        <v>5</v>
      </c>
      <c r="I746">
        <v>50000</v>
      </c>
      <c r="J746">
        <v>250000</v>
      </c>
      <c r="K746">
        <v>205000</v>
      </c>
      <c r="L746">
        <v>45000</v>
      </c>
    </row>
    <row r="747" spans="1:12" x14ac:dyDescent="0.3">
      <c r="A747" t="s">
        <v>1885</v>
      </c>
      <c r="B747" t="s">
        <v>73</v>
      </c>
      <c r="C747" t="s">
        <v>1886</v>
      </c>
      <c r="D747" t="s">
        <v>59</v>
      </c>
      <c r="E747" t="s">
        <v>24</v>
      </c>
      <c r="F747" t="s">
        <v>25</v>
      </c>
      <c r="G747" t="s">
        <v>43</v>
      </c>
      <c r="H747">
        <v>6</v>
      </c>
      <c r="I747">
        <v>1500</v>
      </c>
      <c r="J747">
        <v>9000</v>
      </c>
      <c r="K747">
        <v>7380</v>
      </c>
      <c r="L747">
        <v>1620</v>
      </c>
    </row>
    <row r="748" spans="1:12" x14ac:dyDescent="0.3">
      <c r="A748" t="s">
        <v>1887</v>
      </c>
      <c r="B748" t="s">
        <v>76</v>
      </c>
      <c r="C748" t="s">
        <v>1888</v>
      </c>
      <c r="D748" t="s">
        <v>30</v>
      </c>
      <c r="E748" t="s">
        <v>13</v>
      </c>
      <c r="F748" t="s">
        <v>38</v>
      </c>
      <c r="G748" t="s">
        <v>19</v>
      </c>
      <c r="H748">
        <v>8</v>
      </c>
      <c r="I748">
        <v>12000</v>
      </c>
      <c r="J748">
        <v>96000</v>
      </c>
      <c r="K748">
        <v>78720</v>
      </c>
      <c r="L748">
        <v>17280</v>
      </c>
    </row>
    <row r="749" spans="1:12" x14ac:dyDescent="0.3">
      <c r="A749" t="s">
        <v>1889</v>
      </c>
      <c r="B749" t="s">
        <v>79</v>
      </c>
      <c r="C749" t="s">
        <v>1890</v>
      </c>
      <c r="D749" t="s">
        <v>23</v>
      </c>
      <c r="E749" t="s">
        <v>24</v>
      </c>
      <c r="F749" t="s">
        <v>14</v>
      </c>
      <c r="G749" t="s">
        <v>19</v>
      </c>
      <c r="H749">
        <v>3</v>
      </c>
      <c r="I749">
        <v>800</v>
      </c>
      <c r="J749">
        <v>2400</v>
      </c>
      <c r="K749">
        <v>1967</v>
      </c>
      <c r="L749">
        <v>433</v>
      </c>
    </row>
    <row r="750" spans="1:12" x14ac:dyDescent="0.3">
      <c r="A750" t="s">
        <v>1891</v>
      </c>
      <c r="B750" t="s">
        <v>82</v>
      </c>
      <c r="C750" t="s">
        <v>1892</v>
      </c>
      <c r="D750" t="s">
        <v>106</v>
      </c>
      <c r="E750" t="s">
        <v>107</v>
      </c>
      <c r="F750" t="s">
        <v>38</v>
      </c>
      <c r="G750" t="s">
        <v>19</v>
      </c>
      <c r="H750">
        <v>2</v>
      </c>
      <c r="I750">
        <v>6500</v>
      </c>
      <c r="J750">
        <v>13000</v>
      </c>
      <c r="K750">
        <v>10660</v>
      </c>
      <c r="L750">
        <v>2340</v>
      </c>
    </row>
    <row r="751" spans="1:12" x14ac:dyDescent="0.3">
      <c r="A751" t="s">
        <v>1893</v>
      </c>
      <c r="B751" t="s">
        <v>86</v>
      </c>
      <c r="C751" t="s">
        <v>1894</v>
      </c>
      <c r="D751" t="s">
        <v>50</v>
      </c>
      <c r="E751" t="s">
        <v>51</v>
      </c>
      <c r="F751" t="s">
        <v>25</v>
      </c>
      <c r="G751" t="s">
        <v>43</v>
      </c>
      <c r="H751">
        <v>6</v>
      </c>
      <c r="I751">
        <v>2200</v>
      </c>
      <c r="J751">
        <v>13200</v>
      </c>
      <c r="K751">
        <v>10824</v>
      </c>
      <c r="L751">
        <v>2376</v>
      </c>
    </row>
    <row r="752" spans="1:12" x14ac:dyDescent="0.3">
      <c r="A752" t="s">
        <v>1895</v>
      </c>
      <c r="B752" t="s">
        <v>89</v>
      </c>
      <c r="C752" t="s">
        <v>1896</v>
      </c>
      <c r="D752" t="s">
        <v>59</v>
      </c>
      <c r="E752" t="s">
        <v>24</v>
      </c>
      <c r="F752" t="s">
        <v>25</v>
      </c>
      <c r="G752" t="s">
        <v>19</v>
      </c>
      <c r="H752">
        <v>8</v>
      </c>
      <c r="I752">
        <v>1500</v>
      </c>
      <c r="J752">
        <v>12000</v>
      </c>
      <c r="K752">
        <v>9840</v>
      </c>
      <c r="L752">
        <v>2160</v>
      </c>
    </row>
    <row r="753" spans="1:12" x14ac:dyDescent="0.3">
      <c r="A753" t="s">
        <v>1897</v>
      </c>
      <c r="B753" t="s">
        <v>92</v>
      </c>
      <c r="C753" t="s">
        <v>1898</v>
      </c>
      <c r="D753" t="s">
        <v>12</v>
      </c>
      <c r="E753" t="s">
        <v>13</v>
      </c>
      <c r="F753" t="s">
        <v>14</v>
      </c>
      <c r="G753" t="s">
        <v>15</v>
      </c>
      <c r="H753">
        <v>8</v>
      </c>
      <c r="I753">
        <v>50000</v>
      </c>
      <c r="J753">
        <v>400000</v>
      </c>
      <c r="K753">
        <v>328000</v>
      </c>
      <c r="L753">
        <v>72000</v>
      </c>
    </row>
    <row r="754" spans="1:12" x14ac:dyDescent="0.3">
      <c r="A754" t="s">
        <v>1899</v>
      </c>
      <c r="B754" t="s">
        <v>95</v>
      </c>
      <c r="C754" t="s">
        <v>1900</v>
      </c>
      <c r="D754" t="s">
        <v>50</v>
      </c>
      <c r="E754" t="s">
        <v>51</v>
      </c>
      <c r="F754" t="s">
        <v>14</v>
      </c>
      <c r="G754" t="s">
        <v>15</v>
      </c>
      <c r="H754">
        <v>9</v>
      </c>
      <c r="I754">
        <v>2200</v>
      </c>
      <c r="J754">
        <v>19800</v>
      </c>
      <c r="K754">
        <v>16235</v>
      </c>
      <c r="L754">
        <v>3565</v>
      </c>
    </row>
    <row r="755" spans="1:12" x14ac:dyDescent="0.3">
      <c r="A755" t="s">
        <v>1901</v>
      </c>
      <c r="B755" t="s">
        <v>98</v>
      </c>
      <c r="C755" t="s">
        <v>1902</v>
      </c>
      <c r="D755" t="s">
        <v>106</v>
      </c>
      <c r="E755" t="s">
        <v>107</v>
      </c>
      <c r="F755" t="s">
        <v>25</v>
      </c>
      <c r="G755" t="s">
        <v>19</v>
      </c>
      <c r="H755">
        <v>9</v>
      </c>
      <c r="I755">
        <v>6500</v>
      </c>
      <c r="J755">
        <v>58500</v>
      </c>
      <c r="K755">
        <v>47970</v>
      </c>
      <c r="L755">
        <v>10530</v>
      </c>
    </row>
    <row r="756" spans="1:12" x14ac:dyDescent="0.3">
      <c r="A756" t="s">
        <v>1903</v>
      </c>
      <c r="B756" t="s">
        <v>101</v>
      </c>
      <c r="C756" t="s">
        <v>1904</v>
      </c>
      <c r="D756" t="s">
        <v>106</v>
      </c>
      <c r="E756" t="s">
        <v>107</v>
      </c>
      <c r="F756" t="s">
        <v>52</v>
      </c>
      <c r="G756" t="s">
        <v>19</v>
      </c>
      <c r="H756">
        <v>5</v>
      </c>
      <c r="I756">
        <v>6500</v>
      </c>
      <c r="J756">
        <v>32500</v>
      </c>
      <c r="K756">
        <v>26650</v>
      </c>
      <c r="L756">
        <v>5850</v>
      </c>
    </row>
    <row r="757" spans="1:12" x14ac:dyDescent="0.3">
      <c r="A757" t="s">
        <v>1905</v>
      </c>
      <c r="B757" t="s">
        <v>104</v>
      </c>
      <c r="C757" t="s">
        <v>1906</v>
      </c>
      <c r="D757" t="s">
        <v>12</v>
      </c>
      <c r="E757" t="s">
        <v>13</v>
      </c>
      <c r="F757" t="s">
        <v>25</v>
      </c>
      <c r="G757" t="s">
        <v>84</v>
      </c>
      <c r="H757">
        <v>5</v>
      </c>
      <c r="I757">
        <v>50000</v>
      </c>
      <c r="J757">
        <v>250000</v>
      </c>
      <c r="K757">
        <v>205000</v>
      </c>
      <c r="L757">
        <v>45000</v>
      </c>
    </row>
    <row r="758" spans="1:12" x14ac:dyDescent="0.3">
      <c r="A758" t="s">
        <v>1907</v>
      </c>
      <c r="B758" t="s">
        <v>109</v>
      </c>
      <c r="C758" t="s">
        <v>1908</v>
      </c>
      <c r="D758" t="s">
        <v>30</v>
      </c>
      <c r="E758" t="s">
        <v>13</v>
      </c>
      <c r="F758" t="s">
        <v>14</v>
      </c>
      <c r="G758" t="s">
        <v>19</v>
      </c>
      <c r="H758">
        <v>3</v>
      </c>
      <c r="I758">
        <v>12000</v>
      </c>
      <c r="J758">
        <v>36000</v>
      </c>
      <c r="K758">
        <v>29520</v>
      </c>
      <c r="L758">
        <v>6480</v>
      </c>
    </row>
    <row r="759" spans="1:12" x14ac:dyDescent="0.3">
      <c r="A759" t="s">
        <v>1909</v>
      </c>
      <c r="B759" t="s">
        <v>112</v>
      </c>
      <c r="C759" t="s">
        <v>1910</v>
      </c>
      <c r="D759" t="s">
        <v>59</v>
      </c>
      <c r="E759" t="s">
        <v>24</v>
      </c>
      <c r="F759" t="s">
        <v>14</v>
      </c>
      <c r="G759" t="s">
        <v>15</v>
      </c>
      <c r="H759">
        <v>7</v>
      </c>
      <c r="I759">
        <v>1500</v>
      </c>
      <c r="J759">
        <v>10500</v>
      </c>
      <c r="K759">
        <v>8610</v>
      </c>
      <c r="L759">
        <v>1890</v>
      </c>
    </row>
    <row r="760" spans="1:12" x14ac:dyDescent="0.3">
      <c r="A760" t="s">
        <v>1911</v>
      </c>
      <c r="B760" t="s">
        <v>115</v>
      </c>
      <c r="C760" t="s">
        <v>1912</v>
      </c>
      <c r="D760" t="s">
        <v>12</v>
      </c>
      <c r="E760" t="s">
        <v>13</v>
      </c>
      <c r="F760" t="s">
        <v>25</v>
      </c>
      <c r="G760" t="s">
        <v>19</v>
      </c>
      <c r="H760">
        <v>6</v>
      </c>
      <c r="I760">
        <v>50000</v>
      </c>
      <c r="J760">
        <v>300000</v>
      </c>
      <c r="K760">
        <v>245999</v>
      </c>
      <c r="L760">
        <v>54001</v>
      </c>
    </row>
    <row r="761" spans="1:12" x14ac:dyDescent="0.3">
      <c r="A761" t="s">
        <v>1913</v>
      </c>
      <c r="B761" t="s">
        <v>118</v>
      </c>
      <c r="C761" t="s">
        <v>1914</v>
      </c>
      <c r="D761" t="s">
        <v>34</v>
      </c>
      <c r="E761" t="s">
        <v>24</v>
      </c>
      <c r="F761" t="s">
        <v>14</v>
      </c>
      <c r="G761" t="s">
        <v>19</v>
      </c>
      <c r="H761">
        <v>2</v>
      </c>
      <c r="I761">
        <v>3000</v>
      </c>
      <c r="J761">
        <v>6000</v>
      </c>
      <c r="K761">
        <v>4920</v>
      </c>
      <c r="L761">
        <v>1080</v>
      </c>
    </row>
    <row r="762" spans="1:12" x14ac:dyDescent="0.3">
      <c r="A762" t="s">
        <v>1915</v>
      </c>
      <c r="B762" t="s">
        <v>121</v>
      </c>
      <c r="C762" t="s">
        <v>1916</v>
      </c>
      <c r="D762" t="s">
        <v>23</v>
      </c>
      <c r="E762" t="s">
        <v>24</v>
      </c>
      <c r="F762" t="s">
        <v>38</v>
      </c>
      <c r="G762" t="s">
        <v>15</v>
      </c>
      <c r="H762">
        <v>5</v>
      </c>
      <c r="I762">
        <v>800</v>
      </c>
      <c r="J762">
        <v>4000</v>
      </c>
      <c r="K762">
        <v>3280</v>
      </c>
      <c r="L762">
        <v>720</v>
      </c>
    </row>
    <row r="763" spans="1:12" x14ac:dyDescent="0.3">
      <c r="A763" t="s">
        <v>1917</v>
      </c>
      <c r="B763" t="s">
        <v>124</v>
      </c>
      <c r="C763" t="s">
        <v>1918</v>
      </c>
      <c r="D763" t="s">
        <v>42</v>
      </c>
      <c r="E763" t="s">
        <v>13</v>
      </c>
      <c r="F763" t="s">
        <v>52</v>
      </c>
      <c r="G763" t="s">
        <v>15</v>
      </c>
      <c r="H763">
        <v>5</v>
      </c>
      <c r="I763">
        <v>15000</v>
      </c>
      <c r="J763">
        <v>75000</v>
      </c>
      <c r="K763">
        <v>61499</v>
      </c>
      <c r="L763">
        <v>13501</v>
      </c>
    </row>
    <row r="764" spans="1:12" x14ac:dyDescent="0.3">
      <c r="A764" t="s">
        <v>1919</v>
      </c>
      <c r="B764" t="s">
        <v>127</v>
      </c>
      <c r="C764" t="s">
        <v>1920</v>
      </c>
      <c r="D764" t="s">
        <v>106</v>
      </c>
      <c r="E764" t="s">
        <v>107</v>
      </c>
      <c r="F764" t="s">
        <v>38</v>
      </c>
      <c r="G764" t="s">
        <v>26</v>
      </c>
      <c r="H764">
        <v>8</v>
      </c>
      <c r="I764">
        <v>6500</v>
      </c>
      <c r="J764">
        <v>52000</v>
      </c>
      <c r="K764">
        <v>42640</v>
      </c>
      <c r="L764">
        <v>9360</v>
      </c>
    </row>
    <row r="765" spans="1:12" x14ac:dyDescent="0.3">
      <c r="A765" t="s">
        <v>1921</v>
      </c>
      <c r="B765" t="s">
        <v>130</v>
      </c>
      <c r="C765" t="s">
        <v>1922</v>
      </c>
      <c r="D765" t="s">
        <v>42</v>
      </c>
      <c r="E765" t="s">
        <v>13</v>
      </c>
      <c r="F765" t="s">
        <v>14</v>
      </c>
      <c r="G765" t="s">
        <v>15</v>
      </c>
      <c r="H765">
        <v>6</v>
      </c>
      <c r="I765">
        <v>15000</v>
      </c>
      <c r="J765">
        <v>90000</v>
      </c>
      <c r="K765">
        <v>73800</v>
      </c>
      <c r="L765">
        <v>16200</v>
      </c>
    </row>
    <row r="766" spans="1:12" x14ac:dyDescent="0.3">
      <c r="A766" t="s">
        <v>1923</v>
      </c>
      <c r="B766" t="s">
        <v>133</v>
      </c>
      <c r="C766" t="s">
        <v>1924</v>
      </c>
      <c r="D766" t="s">
        <v>59</v>
      </c>
      <c r="E766" t="s">
        <v>24</v>
      </c>
      <c r="F766" t="s">
        <v>25</v>
      </c>
      <c r="G766" t="s">
        <v>15</v>
      </c>
      <c r="H766">
        <v>9</v>
      </c>
      <c r="I766">
        <v>1500</v>
      </c>
      <c r="J766">
        <v>13500</v>
      </c>
      <c r="K766">
        <v>11070</v>
      </c>
      <c r="L766">
        <v>2430</v>
      </c>
    </row>
    <row r="767" spans="1:12" x14ac:dyDescent="0.3">
      <c r="A767" t="s">
        <v>1925</v>
      </c>
      <c r="B767" t="s">
        <v>136</v>
      </c>
      <c r="C767" t="s">
        <v>1926</v>
      </c>
      <c r="D767" t="s">
        <v>12</v>
      </c>
      <c r="E767" t="s">
        <v>13</v>
      </c>
      <c r="F767" t="s">
        <v>52</v>
      </c>
      <c r="G767" t="s">
        <v>15</v>
      </c>
      <c r="H767">
        <v>3</v>
      </c>
      <c r="I767">
        <v>50000</v>
      </c>
      <c r="J767">
        <v>150000</v>
      </c>
      <c r="K767">
        <v>122999</v>
      </c>
      <c r="L767">
        <v>27001</v>
      </c>
    </row>
    <row r="768" spans="1:12" x14ac:dyDescent="0.3">
      <c r="A768" t="s">
        <v>1927</v>
      </c>
      <c r="B768" t="s">
        <v>139</v>
      </c>
      <c r="C768" t="s">
        <v>1928</v>
      </c>
      <c r="D768" t="s">
        <v>30</v>
      </c>
      <c r="E768" t="s">
        <v>13</v>
      </c>
      <c r="F768" t="s">
        <v>52</v>
      </c>
      <c r="G768" t="s">
        <v>43</v>
      </c>
      <c r="H768">
        <v>6</v>
      </c>
      <c r="I768">
        <v>12000</v>
      </c>
      <c r="J768">
        <v>72000</v>
      </c>
      <c r="K768">
        <v>59040</v>
      </c>
      <c r="L768">
        <v>12960</v>
      </c>
    </row>
    <row r="769" spans="1:12" x14ac:dyDescent="0.3">
      <c r="A769" t="s">
        <v>1929</v>
      </c>
      <c r="B769" t="s">
        <v>142</v>
      </c>
      <c r="C769" t="s">
        <v>1930</v>
      </c>
      <c r="D769" t="s">
        <v>34</v>
      </c>
      <c r="E769" t="s">
        <v>24</v>
      </c>
      <c r="F769" t="s">
        <v>52</v>
      </c>
      <c r="G769" t="s">
        <v>43</v>
      </c>
      <c r="H769">
        <v>8</v>
      </c>
      <c r="I769">
        <v>3000</v>
      </c>
      <c r="J769">
        <v>24000</v>
      </c>
      <c r="K769">
        <v>19680</v>
      </c>
      <c r="L769">
        <v>4320</v>
      </c>
    </row>
    <row r="770" spans="1:12" x14ac:dyDescent="0.3">
      <c r="A770" t="s">
        <v>1931</v>
      </c>
      <c r="B770" t="s">
        <v>145</v>
      </c>
      <c r="C770" t="s">
        <v>1932</v>
      </c>
      <c r="D770" t="s">
        <v>34</v>
      </c>
      <c r="E770" t="s">
        <v>24</v>
      </c>
      <c r="F770" t="s">
        <v>14</v>
      </c>
      <c r="G770" t="s">
        <v>84</v>
      </c>
      <c r="H770">
        <v>4</v>
      </c>
      <c r="I770">
        <v>3000</v>
      </c>
      <c r="J770">
        <v>12000</v>
      </c>
      <c r="K770">
        <v>9840</v>
      </c>
      <c r="L770">
        <v>2160</v>
      </c>
    </row>
    <row r="771" spans="1:12" x14ac:dyDescent="0.3">
      <c r="A771" t="s">
        <v>1933</v>
      </c>
      <c r="B771" t="s">
        <v>148</v>
      </c>
      <c r="C771" t="s">
        <v>1934</v>
      </c>
      <c r="D771" t="s">
        <v>106</v>
      </c>
      <c r="E771" t="s">
        <v>107</v>
      </c>
      <c r="F771" t="s">
        <v>38</v>
      </c>
      <c r="G771" t="s">
        <v>43</v>
      </c>
      <c r="H771">
        <v>7</v>
      </c>
      <c r="I771">
        <v>6500</v>
      </c>
      <c r="J771">
        <v>45500</v>
      </c>
      <c r="K771">
        <v>37310</v>
      </c>
      <c r="L771">
        <v>8190</v>
      </c>
    </row>
    <row r="772" spans="1:12" x14ac:dyDescent="0.3">
      <c r="A772" t="s">
        <v>1935</v>
      </c>
      <c r="B772" t="s">
        <v>151</v>
      </c>
      <c r="C772" t="s">
        <v>1936</v>
      </c>
      <c r="D772" t="s">
        <v>42</v>
      </c>
      <c r="E772" t="s">
        <v>13</v>
      </c>
      <c r="F772" t="s">
        <v>52</v>
      </c>
      <c r="G772" t="s">
        <v>43</v>
      </c>
      <c r="H772">
        <v>7</v>
      </c>
      <c r="I772">
        <v>15000</v>
      </c>
      <c r="J772">
        <v>105000</v>
      </c>
      <c r="K772">
        <v>86100</v>
      </c>
      <c r="L772">
        <v>18900</v>
      </c>
    </row>
    <row r="773" spans="1:12" x14ac:dyDescent="0.3">
      <c r="A773" t="s">
        <v>1937</v>
      </c>
      <c r="B773" t="s">
        <v>154</v>
      </c>
      <c r="C773" t="s">
        <v>1938</v>
      </c>
      <c r="D773" t="s">
        <v>12</v>
      </c>
      <c r="E773" t="s">
        <v>13</v>
      </c>
      <c r="F773" t="s">
        <v>52</v>
      </c>
      <c r="G773" t="s">
        <v>19</v>
      </c>
      <c r="H773">
        <v>3</v>
      </c>
      <c r="I773">
        <v>50000</v>
      </c>
      <c r="J773">
        <v>150000</v>
      </c>
      <c r="K773">
        <v>122999</v>
      </c>
      <c r="L773">
        <v>27001</v>
      </c>
    </row>
    <row r="774" spans="1:12" x14ac:dyDescent="0.3">
      <c r="A774" t="s">
        <v>1939</v>
      </c>
      <c r="B774" t="s">
        <v>157</v>
      </c>
      <c r="C774" t="s">
        <v>1940</v>
      </c>
      <c r="D774" t="s">
        <v>106</v>
      </c>
      <c r="E774" t="s">
        <v>107</v>
      </c>
      <c r="F774" t="s">
        <v>14</v>
      </c>
      <c r="G774" t="s">
        <v>15</v>
      </c>
      <c r="H774">
        <v>10</v>
      </c>
      <c r="I774">
        <v>6500</v>
      </c>
      <c r="J774">
        <v>65000</v>
      </c>
      <c r="K774">
        <v>53300</v>
      </c>
      <c r="L774">
        <v>11700</v>
      </c>
    </row>
    <row r="775" spans="1:12" x14ac:dyDescent="0.3">
      <c r="A775" t="s">
        <v>1941</v>
      </c>
      <c r="B775" t="s">
        <v>160</v>
      </c>
      <c r="C775" t="s">
        <v>1942</v>
      </c>
      <c r="D775" t="s">
        <v>34</v>
      </c>
      <c r="E775" t="s">
        <v>24</v>
      </c>
      <c r="F775" t="s">
        <v>52</v>
      </c>
      <c r="G775" t="s">
        <v>43</v>
      </c>
      <c r="H775">
        <v>7</v>
      </c>
      <c r="I775">
        <v>3000</v>
      </c>
      <c r="J775">
        <v>21000</v>
      </c>
      <c r="K775">
        <v>17220</v>
      </c>
      <c r="L775">
        <v>3780</v>
      </c>
    </row>
    <row r="776" spans="1:12" x14ac:dyDescent="0.3">
      <c r="A776" t="s">
        <v>1943</v>
      </c>
      <c r="B776" t="s">
        <v>163</v>
      </c>
      <c r="C776" t="s">
        <v>1944</v>
      </c>
      <c r="D776" t="s">
        <v>30</v>
      </c>
      <c r="E776" t="s">
        <v>13</v>
      </c>
      <c r="F776" t="s">
        <v>38</v>
      </c>
      <c r="G776" t="s">
        <v>26</v>
      </c>
      <c r="H776">
        <v>2</v>
      </c>
      <c r="I776">
        <v>12000</v>
      </c>
      <c r="J776">
        <v>24000</v>
      </c>
      <c r="K776">
        <v>19680</v>
      </c>
      <c r="L776">
        <v>4320</v>
      </c>
    </row>
    <row r="777" spans="1:12" x14ac:dyDescent="0.3">
      <c r="A777" t="s">
        <v>1945</v>
      </c>
      <c r="B777" t="s">
        <v>166</v>
      </c>
      <c r="C777" t="s">
        <v>1946</v>
      </c>
      <c r="D777" t="s">
        <v>42</v>
      </c>
      <c r="E777" t="s">
        <v>13</v>
      </c>
      <c r="F777" t="s">
        <v>25</v>
      </c>
      <c r="G777" t="s">
        <v>43</v>
      </c>
      <c r="H777">
        <v>8</v>
      </c>
      <c r="I777">
        <v>15000</v>
      </c>
      <c r="J777">
        <v>120000</v>
      </c>
      <c r="K777">
        <v>98400</v>
      </c>
      <c r="L777">
        <v>21600</v>
      </c>
    </row>
    <row r="778" spans="1:12" x14ac:dyDescent="0.3">
      <c r="A778" t="s">
        <v>1947</v>
      </c>
      <c r="B778" t="s">
        <v>169</v>
      </c>
      <c r="C778" t="s">
        <v>1948</v>
      </c>
      <c r="D778" t="s">
        <v>106</v>
      </c>
      <c r="E778" t="s">
        <v>107</v>
      </c>
      <c r="F778" t="s">
        <v>52</v>
      </c>
      <c r="G778" t="s">
        <v>43</v>
      </c>
      <c r="H778">
        <v>8</v>
      </c>
      <c r="I778">
        <v>6500</v>
      </c>
      <c r="J778">
        <v>52000</v>
      </c>
      <c r="K778">
        <v>42640</v>
      </c>
      <c r="L778">
        <v>9360</v>
      </c>
    </row>
    <row r="779" spans="1:12" x14ac:dyDescent="0.3">
      <c r="A779" t="s">
        <v>1949</v>
      </c>
      <c r="B779" t="s">
        <v>172</v>
      </c>
      <c r="C779" t="s">
        <v>1950</v>
      </c>
      <c r="D779" t="s">
        <v>34</v>
      </c>
      <c r="E779" t="s">
        <v>24</v>
      </c>
      <c r="F779" t="s">
        <v>25</v>
      </c>
      <c r="G779" t="s">
        <v>84</v>
      </c>
      <c r="H779">
        <v>5</v>
      </c>
      <c r="I779">
        <v>3000</v>
      </c>
      <c r="J779">
        <v>15000</v>
      </c>
      <c r="K779">
        <v>12300</v>
      </c>
      <c r="L779">
        <v>2700</v>
      </c>
    </row>
    <row r="780" spans="1:12" x14ac:dyDescent="0.3">
      <c r="A780" t="s">
        <v>1951</v>
      </c>
      <c r="B780" t="s">
        <v>175</v>
      </c>
      <c r="C780" t="s">
        <v>1952</v>
      </c>
      <c r="D780" t="s">
        <v>23</v>
      </c>
      <c r="E780" t="s">
        <v>24</v>
      </c>
      <c r="F780" t="s">
        <v>14</v>
      </c>
      <c r="G780" t="s">
        <v>84</v>
      </c>
      <c r="H780">
        <v>4</v>
      </c>
      <c r="I780">
        <v>800</v>
      </c>
      <c r="J780">
        <v>3200</v>
      </c>
      <c r="K780">
        <v>2624</v>
      </c>
      <c r="L780">
        <v>576</v>
      </c>
    </row>
    <row r="781" spans="1:12" x14ac:dyDescent="0.3">
      <c r="A781" t="s">
        <v>1953</v>
      </c>
      <c r="B781" t="s">
        <v>178</v>
      </c>
      <c r="C781" t="s">
        <v>1954</v>
      </c>
      <c r="D781" t="s">
        <v>23</v>
      </c>
      <c r="E781" t="s">
        <v>24</v>
      </c>
      <c r="F781" t="s">
        <v>38</v>
      </c>
      <c r="G781" t="s">
        <v>19</v>
      </c>
      <c r="H781">
        <v>4</v>
      </c>
      <c r="I781">
        <v>800</v>
      </c>
      <c r="J781">
        <v>3200</v>
      </c>
      <c r="K781">
        <v>2624</v>
      </c>
      <c r="L781">
        <v>576</v>
      </c>
    </row>
    <row r="782" spans="1:12" x14ac:dyDescent="0.3">
      <c r="A782" t="s">
        <v>1955</v>
      </c>
      <c r="B782" t="s">
        <v>181</v>
      </c>
      <c r="C782" t="s">
        <v>1956</v>
      </c>
      <c r="D782" t="s">
        <v>42</v>
      </c>
      <c r="E782" t="s">
        <v>13</v>
      </c>
      <c r="F782" t="s">
        <v>14</v>
      </c>
      <c r="G782" t="s">
        <v>26</v>
      </c>
      <c r="H782">
        <v>7</v>
      </c>
      <c r="I782">
        <v>15000</v>
      </c>
      <c r="J782">
        <v>105000</v>
      </c>
      <c r="K782">
        <v>86100</v>
      </c>
      <c r="L782">
        <v>18900</v>
      </c>
    </row>
    <row r="783" spans="1:12" x14ac:dyDescent="0.3">
      <c r="A783" t="s">
        <v>1957</v>
      </c>
      <c r="B783" t="s">
        <v>184</v>
      </c>
      <c r="C783" t="s">
        <v>1958</v>
      </c>
      <c r="D783" t="s">
        <v>59</v>
      </c>
      <c r="E783" t="s">
        <v>24</v>
      </c>
      <c r="F783" t="s">
        <v>25</v>
      </c>
      <c r="G783" t="s">
        <v>26</v>
      </c>
      <c r="H783">
        <v>8</v>
      </c>
      <c r="I783">
        <v>1500</v>
      </c>
      <c r="J783">
        <v>12000</v>
      </c>
      <c r="K783">
        <v>9840</v>
      </c>
      <c r="L783">
        <v>2160</v>
      </c>
    </row>
    <row r="784" spans="1:12" x14ac:dyDescent="0.3">
      <c r="A784" t="s">
        <v>1959</v>
      </c>
      <c r="B784" t="s">
        <v>187</v>
      </c>
      <c r="C784" t="s">
        <v>1960</v>
      </c>
      <c r="D784" t="s">
        <v>59</v>
      </c>
      <c r="E784" t="s">
        <v>24</v>
      </c>
      <c r="F784" t="s">
        <v>14</v>
      </c>
      <c r="G784" t="s">
        <v>26</v>
      </c>
      <c r="H784">
        <v>3</v>
      </c>
      <c r="I784">
        <v>1500</v>
      </c>
      <c r="J784">
        <v>4500</v>
      </c>
      <c r="K784">
        <v>3690</v>
      </c>
      <c r="L784">
        <v>810</v>
      </c>
    </row>
    <row r="785" spans="1:12" x14ac:dyDescent="0.3">
      <c r="A785" t="s">
        <v>1961</v>
      </c>
      <c r="B785" t="s">
        <v>190</v>
      </c>
      <c r="C785" t="s">
        <v>1962</v>
      </c>
      <c r="D785" t="s">
        <v>50</v>
      </c>
      <c r="E785" t="s">
        <v>51</v>
      </c>
      <c r="F785" t="s">
        <v>52</v>
      </c>
      <c r="G785" t="s">
        <v>26</v>
      </c>
      <c r="H785">
        <v>9</v>
      </c>
      <c r="I785">
        <v>2200</v>
      </c>
      <c r="J785">
        <v>19800</v>
      </c>
      <c r="K785">
        <v>16235</v>
      </c>
      <c r="L785">
        <v>3565</v>
      </c>
    </row>
    <row r="786" spans="1:12" x14ac:dyDescent="0.3">
      <c r="A786" t="s">
        <v>1963</v>
      </c>
      <c r="B786" t="s">
        <v>193</v>
      </c>
      <c r="C786" t="s">
        <v>1964</v>
      </c>
      <c r="D786" t="s">
        <v>34</v>
      </c>
      <c r="E786" t="s">
        <v>24</v>
      </c>
      <c r="F786" t="s">
        <v>14</v>
      </c>
      <c r="G786" t="s">
        <v>15</v>
      </c>
      <c r="H786">
        <v>3</v>
      </c>
      <c r="I786">
        <v>3000</v>
      </c>
      <c r="J786">
        <v>9000</v>
      </c>
      <c r="K786">
        <v>7380</v>
      </c>
      <c r="L786">
        <v>1620</v>
      </c>
    </row>
    <row r="787" spans="1:12" x14ac:dyDescent="0.3">
      <c r="A787" t="s">
        <v>1965</v>
      </c>
      <c r="B787" t="s">
        <v>196</v>
      </c>
      <c r="C787" t="s">
        <v>1966</v>
      </c>
      <c r="D787" t="s">
        <v>42</v>
      </c>
      <c r="E787" t="s">
        <v>13</v>
      </c>
      <c r="F787" t="s">
        <v>25</v>
      </c>
      <c r="G787" t="s">
        <v>43</v>
      </c>
      <c r="H787">
        <v>8</v>
      </c>
      <c r="I787">
        <v>15000</v>
      </c>
      <c r="J787">
        <v>120000</v>
      </c>
      <c r="K787">
        <v>98400</v>
      </c>
      <c r="L787">
        <v>21600</v>
      </c>
    </row>
    <row r="788" spans="1:12" x14ac:dyDescent="0.3">
      <c r="A788" t="s">
        <v>1967</v>
      </c>
      <c r="B788" t="s">
        <v>199</v>
      </c>
      <c r="C788" t="s">
        <v>1968</v>
      </c>
      <c r="D788" t="s">
        <v>30</v>
      </c>
      <c r="E788" t="s">
        <v>13</v>
      </c>
      <c r="F788" t="s">
        <v>38</v>
      </c>
      <c r="G788" t="s">
        <v>19</v>
      </c>
      <c r="H788">
        <v>4</v>
      </c>
      <c r="I788">
        <v>12000</v>
      </c>
      <c r="J788">
        <v>48000</v>
      </c>
      <c r="K788">
        <v>39360</v>
      </c>
      <c r="L788">
        <v>8640</v>
      </c>
    </row>
    <row r="789" spans="1:12" x14ac:dyDescent="0.3">
      <c r="A789" t="s">
        <v>1969</v>
      </c>
      <c r="B789" t="s">
        <v>202</v>
      </c>
      <c r="C789" t="s">
        <v>1970</v>
      </c>
      <c r="D789" t="s">
        <v>34</v>
      </c>
      <c r="E789" t="s">
        <v>24</v>
      </c>
      <c r="F789" t="s">
        <v>52</v>
      </c>
      <c r="G789" t="s">
        <v>15</v>
      </c>
      <c r="H789">
        <v>2</v>
      </c>
      <c r="I789">
        <v>3000</v>
      </c>
      <c r="J789">
        <v>6000</v>
      </c>
      <c r="K789">
        <v>4920</v>
      </c>
      <c r="L789">
        <v>1080</v>
      </c>
    </row>
    <row r="790" spans="1:12" x14ac:dyDescent="0.3">
      <c r="A790" t="s">
        <v>1971</v>
      </c>
      <c r="B790" t="s">
        <v>205</v>
      </c>
      <c r="C790" t="s">
        <v>1972</v>
      </c>
      <c r="D790" t="s">
        <v>42</v>
      </c>
      <c r="E790" t="s">
        <v>13</v>
      </c>
      <c r="F790" t="s">
        <v>25</v>
      </c>
      <c r="G790" t="s">
        <v>15</v>
      </c>
      <c r="H790">
        <v>1</v>
      </c>
      <c r="I790">
        <v>15000</v>
      </c>
      <c r="J790">
        <v>15000</v>
      </c>
      <c r="K790">
        <v>12300</v>
      </c>
      <c r="L790">
        <v>2700</v>
      </c>
    </row>
    <row r="791" spans="1:12" x14ac:dyDescent="0.3">
      <c r="A791" t="s">
        <v>1973</v>
      </c>
      <c r="B791" t="s">
        <v>208</v>
      </c>
      <c r="C791" t="s">
        <v>1974</v>
      </c>
      <c r="D791" t="s">
        <v>12</v>
      </c>
      <c r="E791" t="s">
        <v>13</v>
      </c>
      <c r="F791" t="s">
        <v>38</v>
      </c>
      <c r="G791" t="s">
        <v>19</v>
      </c>
      <c r="H791">
        <v>8</v>
      </c>
      <c r="I791">
        <v>50000</v>
      </c>
      <c r="J791">
        <v>400000</v>
      </c>
      <c r="K791">
        <v>328000</v>
      </c>
      <c r="L791">
        <v>72000</v>
      </c>
    </row>
    <row r="792" spans="1:12" x14ac:dyDescent="0.3">
      <c r="A792" t="s">
        <v>1975</v>
      </c>
      <c r="B792" t="s">
        <v>211</v>
      </c>
      <c r="C792" t="s">
        <v>1976</v>
      </c>
      <c r="D792" t="s">
        <v>50</v>
      </c>
      <c r="E792" t="s">
        <v>51</v>
      </c>
      <c r="F792" t="s">
        <v>38</v>
      </c>
      <c r="G792" t="s">
        <v>43</v>
      </c>
      <c r="H792">
        <v>5</v>
      </c>
      <c r="I792">
        <v>2200</v>
      </c>
      <c r="J792">
        <v>11000</v>
      </c>
      <c r="K792">
        <v>9020</v>
      </c>
      <c r="L792">
        <v>1980</v>
      </c>
    </row>
    <row r="793" spans="1:12" x14ac:dyDescent="0.3">
      <c r="A793" t="s">
        <v>1977</v>
      </c>
      <c r="B793" t="s">
        <v>214</v>
      </c>
      <c r="C793" t="s">
        <v>1978</v>
      </c>
      <c r="D793" t="s">
        <v>30</v>
      </c>
      <c r="E793" t="s">
        <v>13</v>
      </c>
      <c r="F793" t="s">
        <v>38</v>
      </c>
      <c r="G793" t="s">
        <v>84</v>
      </c>
      <c r="H793">
        <v>9</v>
      </c>
      <c r="I793">
        <v>12000</v>
      </c>
      <c r="J793">
        <v>108000</v>
      </c>
      <c r="K793">
        <v>88560</v>
      </c>
      <c r="L793">
        <v>19440</v>
      </c>
    </row>
    <row r="794" spans="1:12" x14ac:dyDescent="0.3">
      <c r="A794" t="s">
        <v>1979</v>
      </c>
      <c r="B794" t="s">
        <v>217</v>
      </c>
      <c r="C794" t="s">
        <v>1980</v>
      </c>
      <c r="D794" t="s">
        <v>23</v>
      </c>
      <c r="E794" t="s">
        <v>24</v>
      </c>
      <c r="F794" t="s">
        <v>52</v>
      </c>
      <c r="G794" t="s">
        <v>43</v>
      </c>
      <c r="H794">
        <v>6</v>
      </c>
      <c r="I794">
        <v>800</v>
      </c>
      <c r="J794">
        <v>4800</v>
      </c>
      <c r="K794">
        <v>3935</v>
      </c>
      <c r="L794">
        <v>865</v>
      </c>
    </row>
    <row r="795" spans="1:12" x14ac:dyDescent="0.3">
      <c r="A795" t="s">
        <v>1981</v>
      </c>
      <c r="B795" t="s">
        <v>220</v>
      </c>
      <c r="C795" t="s">
        <v>1982</v>
      </c>
      <c r="D795" t="s">
        <v>23</v>
      </c>
      <c r="E795" t="s">
        <v>24</v>
      </c>
      <c r="F795" t="s">
        <v>38</v>
      </c>
      <c r="G795" t="s">
        <v>19</v>
      </c>
      <c r="H795">
        <v>3</v>
      </c>
      <c r="I795">
        <v>800</v>
      </c>
      <c r="J795">
        <v>2400</v>
      </c>
      <c r="K795">
        <v>1967</v>
      </c>
      <c r="L795">
        <v>433</v>
      </c>
    </row>
    <row r="796" spans="1:12" x14ac:dyDescent="0.3">
      <c r="A796" t="s">
        <v>1983</v>
      </c>
      <c r="B796" t="s">
        <v>223</v>
      </c>
      <c r="C796" t="s">
        <v>1984</v>
      </c>
      <c r="D796" t="s">
        <v>42</v>
      </c>
      <c r="E796" t="s">
        <v>13</v>
      </c>
      <c r="F796" t="s">
        <v>14</v>
      </c>
      <c r="G796" t="s">
        <v>43</v>
      </c>
      <c r="H796">
        <v>6</v>
      </c>
      <c r="I796">
        <v>15000</v>
      </c>
      <c r="J796">
        <v>90000</v>
      </c>
      <c r="K796">
        <v>73800</v>
      </c>
      <c r="L796">
        <v>16200</v>
      </c>
    </row>
    <row r="797" spans="1:12" x14ac:dyDescent="0.3">
      <c r="A797" t="s">
        <v>1985</v>
      </c>
      <c r="B797" t="s">
        <v>226</v>
      </c>
      <c r="C797" t="s">
        <v>1986</v>
      </c>
      <c r="D797" t="s">
        <v>59</v>
      </c>
      <c r="E797" t="s">
        <v>24</v>
      </c>
      <c r="F797" t="s">
        <v>14</v>
      </c>
      <c r="G797" t="s">
        <v>84</v>
      </c>
      <c r="H797">
        <v>6</v>
      </c>
      <c r="I797">
        <v>1500</v>
      </c>
      <c r="J797">
        <v>9000</v>
      </c>
      <c r="K797">
        <v>7380</v>
      </c>
      <c r="L797">
        <v>1620</v>
      </c>
    </row>
    <row r="798" spans="1:12" x14ac:dyDescent="0.3">
      <c r="A798" t="s">
        <v>1987</v>
      </c>
      <c r="B798" t="s">
        <v>229</v>
      </c>
      <c r="C798" t="s">
        <v>1988</v>
      </c>
      <c r="D798" t="s">
        <v>34</v>
      </c>
      <c r="E798" t="s">
        <v>24</v>
      </c>
      <c r="F798" t="s">
        <v>38</v>
      </c>
      <c r="G798" t="s">
        <v>43</v>
      </c>
      <c r="H798">
        <v>8</v>
      </c>
      <c r="I798">
        <v>3000</v>
      </c>
      <c r="J798">
        <v>24000</v>
      </c>
      <c r="K798">
        <v>19680</v>
      </c>
      <c r="L798">
        <v>4320</v>
      </c>
    </row>
    <row r="799" spans="1:12" x14ac:dyDescent="0.3">
      <c r="A799" t="s">
        <v>1989</v>
      </c>
      <c r="B799" t="s">
        <v>232</v>
      </c>
      <c r="C799" t="s">
        <v>1990</v>
      </c>
      <c r="D799" t="s">
        <v>30</v>
      </c>
      <c r="E799" t="s">
        <v>13</v>
      </c>
      <c r="F799" t="s">
        <v>38</v>
      </c>
      <c r="G799" t="s">
        <v>19</v>
      </c>
      <c r="H799">
        <v>4</v>
      </c>
      <c r="I799">
        <v>12000</v>
      </c>
      <c r="J799">
        <v>48000</v>
      </c>
      <c r="K799">
        <v>39360</v>
      </c>
      <c r="L799">
        <v>8640</v>
      </c>
    </row>
    <row r="800" spans="1:12" x14ac:dyDescent="0.3">
      <c r="A800" t="s">
        <v>1991</v>
      </c>
      <c r="B800" t="s">
        <v>235</v>
      </c>
      <c r="C800" t="s">
        <v>1992</v>
      </c>
      <c r="D800" t="s">
        <v>23</v>
      </c>
      <c r="E800" t="s">
        <v>24</v>
      </c>
      <c r="F800" t="s">
        <v>38</v>
      </c>
      <c r="G800" t="s">
        <v>84</v>
      </c>
      <c r="H800">
        <v>4</v>
      </c>
      <c r="I800">
        <v>800</v>
      </c>
      <c r="J800">
        <v>3200</v>
      </c>
      <c r="K800">
        <v>2624</v>
      </c>
      <c r="L800">
        <v>576</v>
      </c>
    </row>
    <row r="801" spans="1:12" x14ac:dyDescent="0.3">
      <c r="A801" t="s">
        <v>1993</v>
      </c>
      <c r="B801" t="s">
        <v>238</v>
      </c>
      <c r="C801" t="s">
        <v>1994</v>
      </c>
      <c r="D801" t="s">
        <v>12</v>
      </c>
      <c r="E801" t="s">
        <v>13</v>
      </c>
      <c r="F801" t="s">
        <v>14</v>
      </c>
      <c r="G801" t="s">
        <v>43</v>
      </c>
      <c r="H801">
        <v>6</v>
      </c>
      <c r="I801">
        <v>50000</v>
      </c>
      <c r="J801">
        <v>300000</v>
      </c>
      <c r="K801">
        <v>245999</v>
      </c>
      <c r="L801">
        <v>54001</v>
      </c>
    </row>
    <row r="802" spans="1:12" x14ac:dyDescent="0.3">
      <c r="A802" t="s">
        <v>1995</v>
      </c>
      <c r="B802" t="s">
        <v>241</v>
      </c>
      <c r="C802" t="s">
        <v>1996</v>
      </c>
      <c r="D802" t="s">
        <v>50</v>
      </c>
      <c r="E802" t="s">
        <v>51</v>
      </c>
      <c r="F802" t="s">
        <v>52</v>
      </c>
      <c r="G802" t="s">
        <v>84</v>
      </c>
      <c r="H802">
        <v>6</v>
      </c>
      <c r="I802">
        <v>2200</v>
      </c>
      <c r="J802">
        <v>13200</v>
      </c>
      <c r="K802">
        <v>10824</v>
      </c>
      <c r="L802">
        <v>2376</v>
      </c>
    </row>
    <row r="803" spans="1:12" x14ac:dyDescent="0.3">
      <c r="A803" t="s">
        <v>1997</v>
      </c>
      <c r="B803" t="s">
        <v>244</v>
      </c>
      <c r="C803" t="s">
        <v>1998</v>
      </c>
      <c r="D803" t="s">
        <v>59</v>
      </c>
      <c r="E803" t="s">
        <v>24</v>
      </c>
      <c r="F803" t="s">
        <v>38</v>
      </c>
      <c r="G803" t="s">
        <v>15</v>
      </c>
      <c r="H803">
        <v>2</v>
      </c>
      <c r="I803">
        <v>1500</v>
      </c>
      <c r="J803">
        <v>3000</v>
      </c>
      <c r="K803">
        <v>2460</v>
      </c>
      <c r="L803">
        <v>540</v>
      </c>
    </row>
    <row r="804" spans="1:12" x14ac:dyDescent="0.3">
      <c r="A804" t="s">
        <v>1999</v>
      </c>
      <c r="B804" t="s">
        <v>247</v>
      </c>
      <c r="C804" t="s">
        <v>2000</v>
      </c>
      <c r="D804" t="s">
        <v>12</v>
      </c>
      <c r="E804" t="s">
        <v>13</v>
      </c>
      <c r="F804" t="s">
        <v>25</v>
      </c>
      <c r="G804" t="s">
        <v>26</v>
      </c>
      <c r="H804">
        <v>10</v>
      </c>
      <c r="I804">
        <v>50000</v>
      </c>
      <c r="J804">
        <v>500000</v>
      </c>
      <c r="K804">
        <v>410000</v>
      </c>
      <c r="L804">
        <v>90000</v>
      </c>
    </row>
    <row r="805" spans="1:12" x14ac:dyDescent="0.3">
      <c r="A805" t="s">
        <v>2001</v>
      </c>
      <c r="B805" t="s">
        <v>250</v>
      </c>
      <c r="C805" t="s">
        <v>2002</v>
      </c>
      <c r="D805" t="s">
        <v>106</v>
      </c>
      <c r="E805" t="s">
        <v>107</v>
      </c>
      <c r="F805" t="s">
        <v>25</v>
      </c>
      <c r="G805" t="s">
        <v>43</v>
      </c>
      <c r="H805">
        <v>8</v>
      </c>
      <c r="I805">
        <v>6500</v>
      </c>
      <c r="J805">
        <v>52000</v>
      </c>
      <c r="K805">
        <v>42640</v>
      </c>
      <c r="L805">
        <v>9360</v>
      </c>
    </row>
    <row r="806" spans="1:12" x14ac:dyDescent="0.3">
      <c r="A806" t="s">
        <v>2003</v>
      </c>
      <c r="B806" t="s">
        <v>253</v>
      </c>
      <c r="C806" t="s">
        <v>2004</v>
      </c>
      <c r="D806" t="s">
        <v>12</v>
      </c>
      <c r="E806" t="s">
        <v>13</v>
      </c>
      <c r="F806" t="s">
        <v>25</v>
      </c>
      <c r="G806" t="s">
        <v>15</v>
      </c>
      <c r="H806">
        <v>4</v>
      </c>
      <c r="I806">
        <v>50000</v>
      </c>
      <c r="J806">
        <v>200000</v>
      </c>
      <c r="K806">
        <v>164000</v>
      </c>
      <c r="L806">
        <v>36000</v>
      </c>
    </row>
    <row r="807" spans="1:12" x14ac:dyDescent="0.3">
      <c r="A807" t="s">
        <v>2005</v>
      </c>
      <c r="B807" t="s">
        <v>256</v>
      </c>
      <c r="C807" t="s">
        <v>2006</v>
      </c>
      <c r="D807" t="s">
        <v>23</v>
      </c>
      <c r="E807" t="s">
        <v>24</v>
      </c>
      <c r="F807" t="s">
        <v>52</v>
      </c>
      <c r="G807" t="s">
        <v>84</v>
      </c>
      <c r="H807">
        <v>4</v>
      </c>
      <c r="I807">
        <v>800</v>
      </c>
      <c r="J807">
        <v>3200</v>
      </c>
      <c r="K807">
        <v>2624</v>
      </c>
      <c r="L807">
        <v>576</v>
      </c>
    </row>
    <row r="808" spans="1:12" x14ac:dyDescent="0.3">
      <c r="A808" t="s">
        <v>2007</v>
      </c>
      <c r="B808" t="s">
        <v>259</v>
      </c>
      <c r="C808" t="s">
        <v>2008</v>
      </c>
      <c r="D808" t="s">
        <v>59</v>
      </c>
      <c r="E808" t="s">
        <v>24</v>
      </c>
      <c r="F808" t="s">
        <v>52</v>
      </c>
      <c r="G808" t="s">
        <v>26</v>
      </c>
      <c r="H808">
        <v>9</v>
      </c>
      <c r="I808">
        <v>1500</v>
      </c>
      <c r="J808">
        <v>13500</v>
      </c>
      <c r="K808">
        <v>11070</v>
      </c>
      <c r="L808">
        <v>2430</v>
      </c>
    </row>
    <row r="809" spans="1:12" x14ac:dyDescent="0.3">
      <c r="A809" t="s">
        <v>2009</v>
      </c>
      <c r="B809" t="s">
        <v>262</v>
      </c>
      <c r="C809" t="s">
        <v>2010</v>
      </c>
      <c r="D809" t="s">
        <v>34</v>
      </c>
      <c r="E809" t="s">
        <v>24</v>
      </c>
      <c r="F809" t="s">
        <v>25</v>
      </c>
      <c r="G809" t="s">
        <v>26</v>
      </c>
      <c r="H809">
        <v>3</v>
      </c>
      <c r="I809">
        <v>3000</v>
      </c>
      <c r="J809">
        <v>9000</v>
      </c>
      <c r="K809">
        <v>7380</v>
      </c>
      <c r="L809">
        <v>1620</v>
      </c>
    </row>
    <row r="810" spans="1:12" x14ac:dyDescent="0.3">
      <c r="A810" t="s">
        <v>2011</v>
      </c>
      <c r="B810" t="s">
        <v>265</v>
      </c>
      <c r="C810" t="s">
        <v>2012</v>
      </c>
      <c r="D810" t="s">
        <v>30</v>
      </c>
      <c r="E810" t="s">
        <v>13</v>
      </c>
      <c r="F810" t="s">
        <v>25</v>
      </c>
      <c r="G810" t="s">
        <v>15</v>
      </c>
      <c r="H810">
        <v>8</v>
      </c>
      <c r="I810">
        <v>12000</v>
      </c>
      <c r="J810">
        <v>96000</v>
      </c>
      <c r="K810">
        <v>78720</v>
      </c>
      <c r="L810">
        <v>17280</v>
      </c>
    </row>
    <row r="811" spans="1:12" x14ac:dyDescent="0.3">
      <c r="A811" t="s">
        <v>2013</v>
      </c>
      <c r="B811" t="s">
        <v>268</v>
      </c>
      <c r="C811" t="s">
        <v>2014</v>
      </c>
      <c r="D811" t="s">
        <v>23</v>
      </c>
      <c r="E811" t="s">
        <v>24</v>
      </c>
      <c r="F811" t="s">
        <v>38</v>
      </c>
      <c r="G811" t="s">
        <v>43</v>
      </c>
      <c r="H811">
        <v>1</v>
      </c>
      <c r="I811">
        <v>800</v>
      </c>
      <c r="J811">
        <v>800</v>
      </c>
      <c r="K811">
        <v>656</v>
      </c>
      <c r="L811">
        <v>144</v>
      </c>
    </row>
    <row r="812" spans="1:12" x14ac:dyDescent="0.3">
      <c r="A812" t="s">
        <v>2015</v>
      </c>
      <c r="B812" t="s">
        <v>271</v>
      </c>
      <c r="C812" t="s">
        <v>2016</v>
      </c>
      <c r="D812" t="s">
        <v>12</v>
      </c>
      <c r="E812" t="s">
        <v>13</v>
      </c>
      <c r="F812" t="s">
        <v>14</v>
      </c>
      <c r="G812" t="s">
        <v>43</v>
      </c>
      <c r="H812">
        <v>1</v>
      </c>
      <c r="I812">
        <v>50000</v>
      </c>
      <c r="J812">
        <v>50000</v>
      </c>
      <c r="K812">
        <v>41000</v>
      </c>
      <c r="L812">
        <v>9000</v>
      </c>
    </row>
    <row r="813" spans="1:12" x14ac:dyDescent="0.3">
      <c r="A813" t="s">
        <v>2017</v>
      </c>
      <c r="B813" t="s">
        <v>274</v>
      </c>
      <c r="C813" t="s">
        <v>2018</v>
      </c>
      <c r="D813" t="s">
        <v>30</v>
      </c>
      <c r="E813" t="s">
        <v>13</v>
      </c>
      <c r="F813" t="s">
        <v>52</v>
      </c>
      <c r="G813" t="s">
        <v>15</v>
      </c>
      <c r="H813">
        <v>7</v>
      </c>
      <c r="I813">
        <v>12000</v>
      </c>
      <c r="J813">
        <v>84000</v>
      </c>
      <c r="K813">
        <v>68880</v>
      </c>
      <c r="L813">
        <v>15120</v>
      </c>
    </row>
    <row r="814" spans="1:12" x14ac:dyDescent="0.3">
      <c r="A814" t="s">
        <v>2019</v>
      </c>
      <c r="B814" t="s">
        <v>277</v>
      </c>
      <c r="C814" t="s">
        <v>2020</v>
      </c>
      <c r="D814" t="s">
        <v>106</v>
      </c>
      <c r="E814" t="s">
        <v>107</v>
      </c>
      <c r="F814" t="s">
        <v>52</v>
      </c>
      <c r="G814" t="s">
        <v>26</v>
      </c>
      <c r="H814">
        <v>1</v>
      </c>
      <c r="I814">
        <v>6500</v>
      </c>
      <c r="J814">
        <v>6500</v>
      </c>
      <c r="K814">
        <v>5330</v>
      </c>
      <c r="L814">
        <v>1170</v>
      </c>
    </row>
    <row r="815" spans="1:12" x14ac:dyDescent="0.3">
      <c r="A815" t="s">
        <v>2021</v>
      </c>
      <c r="B815" t="s">
        <v>280</v>
      </c>
      <c r="C815" t="s">
        <v>2022</v>
      </c>
      <c r="D815" t="s">
        <v>42</v>
      </c>
      <c r="E815" t="s">
        <v>13</v>
      </c>
      <c r="F815" t="s">
        <v>38</v>
      </c>
      <c r="G815" t="s">
        <v>26</v>
      </c>
      <c r="H815">
        <v>3</v>
      </c>
      <c r="I815">
        <v>15000</v>
      </c>
      <c r="J815">
        <v>45000</v>
      </c>
      <c r="K815">
        <v>36900</v>
      </c>
      <c r="L815">
        <v>8100</v>
      </c>
    </row>
    <row r="816" spans="1:12" x14ac:dyDescent="0.3">
      <c r="A816" t="s">
        <v>2023</v>
      </c>
      <c r="B816" t="s">
        <v>283</v>
      </c>
      <c r="C816" t="s">
        <v>2024</v>
      </c>
      <c r="D816" t="s">
        <v>30</v>
      </c>
      <c r="E816" t="s">
        <v>13</v>
      </c>
      <c r="F816" t="s">
        <v>14</v>
      </c>
      <c r="G816" t="s">
        <v>26</v>
      </c>
      <c r="H816">
        <v>3</v>
      </c>
      <c r="I816">
        <v>12000</v>
      </c>
      <c r="J816">
        <v>36000</v>
      </c>
      <c r="K816">
        <v>29520</v>
      </c>
      <c r="L816">
        <v>6480</v>
      </c>
    </row>
    <row r="817" spans="1:12" x14ac:dyDescent="0.3">
      <c r="A817" t="s">
        <v>2025</v>
      </c>
      <c r="B817" t="s">
        <v>286</v>
      </c>
      <c r="C817" t="s">
        <v>2026</v>
      </c>
      <c r="D817" t="s">
        <v>23</v>
      </c>
      <c r="E817" t="s">
        <v>24</v>
      </c>
      <c r="F817" t="s">
        <v>14</v>
      </c>
      <c r="G817" t="s">
        <v>19</v>
      </c>
      <c r="H817">
        <v>10</v>
      </c>
      <c r="I817">
        <v>800</v>
      </c>
      <c r="J817">
        <v>8000</v>
      </c>
      <c r="K817">
        <v>6560</v>
      </c>
      <c r="L817">
        <v>1440</v>
      </c>
    </row>
    <row r="818" spans="1:12" x14ac:dyDescent="0.3">
      <c r="A818" t="s">
        <v>2027</v>
      </c>
      <c r="B818" t="s">
        <v>289</v>
      </c>
      <c r="C818" t="s">
        <v>2028</v>
      </c>
      <c r="D818" t="s">
        <v>106</v>
      </c>
      <c r="E818" t="s">
        <v>107</v>
      </c>
      <c r="F818" t="s">
        <v>38</v>
      </c>
      <c r="G818" t="s">
        <v>43</v>
      </c>
      <c r="H818">
        <v>3</v>
      </c>
      <c r="I818">
        <v>6500</v>
      </c>
      <c r="J818">
        <v>19500</v>
      </c>
      <c r="K818">
        <v>15989</v>
      </c>
      <c r="L818">
        <v>3511</v>
      </c>
    </row>
    <row r="819" spans="1:12" x14ac:dyDescent="0.3">
      <c r="A819" t="s">
        <v>2029</v>
      </c>
      <c r="B819" t="s">
        <v>292</v>
      </c>
      <c r="C819" t="s">
        <v>2030</v>
      </c>
      <c r="D819" t="s">
        <v>106</v>
      </c>
      <c r="E819" t="s">
        <v>107</v>
      </c>
      <c r="F819" t="s">
        <v>25</v>
      </c>
      <c r="G819" t="s">
        <v>84</v>
      </c>
      <c r="H819">
        <v>1</v>
      </c>
      <c r="I819">
        <v>6500</v>
      </c>
      <c r="J819">
        <v>6500</v>
      </c>
      <c r="K819">
        <v>5330</v>
      </c>
      <c r="L819">
        <v>1170</v>
      </c>
    </row>
    <row r="820" spans="1:12" x14ac:dyDescent="0.3">
      <c r="A820" t="s">
        <v>2031</v>
      </c>
      <c r="B820" t="s">
        <v>295</v>
      </c>
      <c r="C820" t="s">
        <v>2032</v>
      </c>
      <c r="D820" t="s">
        <v>42</v>
      </c>
      <c r="E820" t="s">
        <v>13</v>
      </c>
      <c r="F820" t="s">
        <v>25</v>
      </c>
      <c r="G820" t="s">
        <v>15</v>
      </c>
      <c r="H820">
        <v>3</v>
      </c>
      <c r="I820">
        <v>15000</v>
      </c>
      <c r="J820">
        <v>45000</v>
      </c>
      <c r="K820">
        <v>36900</v>
      </c>
      <c r="L820">
        <v>8100</v>
      </c>
    </row>
    <row r="821" spans="1:12" x14ac:dyDescent="0.3">
      <c r="A821" t="s">
        <v>2033</v>
      </c>
      <c r="B821" t="s">
        <v>298</v>
      </c>
      <c r="C821" t="s">
        <v>2034</v>
      </c>
      <c r="D821" t="s">
        <v>30</v>
      </c>
      <c r="E821" t="s">
        <v>13</v>
      </c>
      <c r="F821" t="s">
        <v>14</v>
      </c>
      <c r="G821" t="s">
        <v>26</v>
      </c>
      <c r="H821">
        <v>2</v>
      </c>
      <c r="I821">
        <v>12000</v>
      </c>
      <c r="J821">
        <v>24000</v>
      </c>
      <c r="K821">
        <v>19680</v>
      </c>
      <c r="L821">
        <v>4320</v>
      </c>
    </row>
    <row r="822" spans="1:12" x14ac:dyDescent="0.3">
      <c r="A822" t="s">
        <v>2035</v>
      </c>
      <c r="B822" t="s">
        <v>301</v>
      </c>
      <c r="C822" t="s">
        <v>2036</v>
      </c>
      <c r="D822" t="s">
        <v>30</v>
      </c>
      <c r="E822" t="s">
        <v>13</v>
      </c>
      <c r="F822" t="s">
        <v>25</v>
      </c>
      <c r="G822" t="s">
        <v>84</v>
      </c>
      <c r="H822">
        <v>1</v>
      </c>
      <c r="I822">
        <v>12000</v>
      </c>
      <c r="J822">
        <v>12000</v>
      </c>
      <c r="K822">
        <v>9840</v>
      </c>
      <c r="L822">
        <v>2160</v>
      </c>
    </row>
    <row r="823" spans="1:12" x14ac:dyDescent="0.3">
      <c r="A823" t="s">
        <v>2037</v>
      </c>
      <c r="B823" t="s">
        <v>304</v>
      </c>
      <c r="C823" t="s">
        <v>2038</v>
      </c>
      <c r="D823" t="s">
        <v>42</v>
      </c>
      <c r="E823" t="s">
        <v>13</v>
      </c>
      <c r="F823" t="s">
        <v>52</v>
      </c>
      <c r="G823" t="s">
        <v>84</v>
      </c>
      <c r="H823">
        <v>5</v>
      </c>
      <c r="I823">
        <v>15000</v>
      </c>
      <c r="J823">
        <v>75000</v>
      </c>
      <c r="K823">
        <v>61499</v>
      </c>
      <c r="L823">
        <v>13501</v>
      </c>
    </row>
    <row r="824" spans="1:12" x14ac:dyDescent="0.3">
      <c r="A824" t="s">
        <v>2039</v>
      </c>
      <c r="B824" t="s">
        <v>307</v>
      </c>
      <c r="C824" t="s">
        <v>2040</v>
      </c>
      <c r="D824" t="s">
        <v>42</v>
      </c>
      <c r="E824" t="s">
        <v>13</v>
      </c>
      <c r="F824" t="s">
        <v>25</v>
      </c>
      <c r="G824" t="s">
        <v>43</v>
      </c>
      <c r="H824">
        <v>3</v>
      </c>
      <c r="I824">
        <v>15000</v>
      </c>
      <c r="J824">
        <v>45000</v>
      </c>
      <c r="K824">
        <v>36900</v>
      </c>
      <c r="L824">
        <v>8100</v>
      </c>
    </row>
    <row r="825" spans="1:12" x14ac:dyDescent="0.3">
      <c r="A825" t="s">
        <v>2041</v>
      </c>
      <c r="B825" t="s">
        <v>310</v>
      </c>
      <c r="C825" t="s">
        <v>2042</v>
      </c>
      <c r="D825" t="s">
        <v>50</v>
      </c>
      <c r="E825" t="s">
        <v>51</v>
      </c>
      <c r="F825" t="s">
        <v>14</v>
      </c>
      <c r="G825" t="s">
        <v>19</v>
      </c>
      <c r="H825">
        <v>1</v>
      </c>
      <c r="I825">
        <v>2200</v>
      </c>
      <c r="J825">
        <v>2200</v>
      </c>
      <c r="K825">
        <v>1804</v>
      </c>
      <c r="L825">
        <v>396</v>
      </c>
    </row>
    <row r="826" spans="1:12" x14ac:dyDescent="0.3">
      <c r="A826" t="s">
        <v>2043</v>
      </c>
      <c r="B826" t="s">
        <v>313</v>
      </c>
      <c r="C826" t="s">
        <v>2044</v>
      </c>
      <c r="D826" t="s">
        <v>106</v>
      </c>
      <c r="E826" t="s">
        <v>107</v>
      </c>
      <c r="F826" t="s">
        <v>14</v>
      </c>
      <c r="G826" t="s">
        <v>26</v>
      </c>
      <c r="H826">
        <v>8</v>
      </c>
      <c r="I826">
        <v>6500</v>
      </c>
      <c r="J826">
        <v>52000</v>
      </c>
      <c r="K826">
        <v>42640</v>
      </c>
      <c r="L826">
        <v>9360</v>
      </c>
    </row>
    <row r="827" spans="1:12" x14ac:dyDescent="0.3">
      <c r="A827" t="s">
        <v>2045</v>
      </c>
      <c r="B827" t="s">
        <v>316</v>
      </c>
      <c r="C827" t="s">
        <v>2046</v>
      </c>
      <c r="D827" t="s">
        <v>50</v>
      </c>
      <c r="E827" t="s">
        <v>51</v>
      </c>
      <c r="F827" t="s">
        <v>52</v>
      </c>
      <c r="G827" t="s">
        <v>26</v>
      </c>
      <c r="H827">
        <v>7</v>
      </c>
      <c r="I827">
        <v>2200</v>
      </c>
      <c r="J827">
        <v>15400</v>
      </c>
      <c r="K827">
        <v>12628</v>
      </c>
      <c r="L827">
        <v>2772</v>
      </c>
    </row>
    <row r="828" spans="1:12" x14ac:dyDescent="0.3">
      <c r="A828" t="s">
        <v>2047</v>
      </c>
      <c r="B828" t="s">
        <v>319</v>
      </c>
      <c r="C828" t="s">
        <v>2048</v>
      </c>
      <c r="D828" t="s">
        <v>59</v>
      </c>
      <c r="E828" t="s">
        <v>24</v>
      </c>
      <c r="F828" t="s">
        <v>14</v>
      </c>
      <c r="G828" t="s">
        <v>43</v>
      </c>
      <c r="H828">
        <v>7</v>
      </c>
      <c r="I828">
        <v>1500</v>
      </c>
      <c r="J828">
        <v>10500</v>
      </c>
      <c r="K828">
        <v>8610</v>
      </c>
      <c r="L828">
        <v>1890</v>
      </c>
    </row>
    <row r="829" spans="1:12" x14ac:dyDescent="0.3">
      <c r="A829" t="s">
        <v>2049</v>
      </c>
      <c r="B829" t="s">
        <v>322</v>
      </c>
      <c r="C829" t="s">
        <v>2050</v>
      </c>
      <c r="D829" t="s">
        <v>50</v>
      </c>
      <c r="E829" t="s">
        <v>51</v>
      </c>
      <c r="F829" t="s">
        <v>25</v>
      </c>
      <c r="G829" t="s">
        <v>84</v>
      </c>
      <c r="H829">
        <v>7</v>
      </c>
      <c r="I829">
        <v>2200</v>
      </c>
      <c r="J829">
        <v>15400</v>
      </c>
      <c r="K829">
        <v>12628</v>
      </c>
      <c r="L829">
        <v>2772</v>
      </c>
    </row>
    <row r="830" spans="1:12" x14ac:dyDescent="0.3">
      <c r="A830" t="s">
        <v>2051</v>
      </c>
      <c r="B830" t="s">
        <v>325</v>
      </c>
      <c r="C830" t="s">
        <v>2052</v>
      </c>
      <c r="D830" t="s">
        <v>106</v>
      </c>
      <c r="E830" t="s">
        <v>107</v>
      </c>
      <c r="F830" t="s">
        <v>14</v>
      </c>
      <c r="G830" t="s">
        <v>26</v>
      </c>
      <c r="H830">
        <v>3</v>
      </c>
      <c r="I830">
        <v>6500</v>
      </c>
      <c r="J830">
        <v>19500</v>
      </c>
      <c r="K830">
        <v>15989</v>
      </c>
      <c r="L830">
        <v>3511</v>
      </c>
    </row>
    <row r="831" spans="1:12" x14ac:dyDescent="0.3">
      <c r="A831" t="s">
        <v>2053</v>
      </c>
      <c r="B831" t="s">
        <v>328</v>
      </c>
      <c r="C831" t="s">
        <v>2054</v>
      </c>
      <c r="D831" t="s">
        <v>34</v>
      </c>
      <c r="E831" t="s">
        <v>24</v>
      </c>
      <c r="F831" t="s">
        <v>14</v>
      </c>
      <c r="G831" t="s">
        <v>15</v>
      </c>
      <c r="H831">
        <v>2</v>
      </c>
      <c r="I831">
        <v>3000</v>
      </c>
      <c r="J831">
        <v>6000</v>
      </c>
      <c r="K831">
        <v>4920</v>
      </c>
      <c r="L831">
        <v>1080</v>
      </c>
    </row>
    <row r="832" spans="1:12" x14ac:dyDescent="0.3">
      <c r="A832" t="s">
        <v>2055</v>
      </c>
      <c r="B832" t="s">
        <v>331</v>
      </c>
      <c r="C832" t="s">
        <v>2056</v>
      </c>
      <c r="D832" t="s">
        <v>42</v>
      </c>
      <c r="E832" t="s">
        <v>13</v>
      </c>
      <c r="F832" t="s">
        <v>25</v>
      </c>
      <c r="G832" t="s">
        <v>15</v>
      </c>
      <c r="H832">
        <v>8</v>
      </c>
      <c r="I832">
        <v>15000</v>
      </c>
      <c r="J832">
        <v>120000</v>
      </c>
      <c r="K832">
        <v>98400</v>
      </c>
      <c r="L832">
        <v>21600</v>
      </c>
    </row>
    <row r="833" spans="1:12" x14ac:dyDescent="0.3">
      <c r="A833" t="s">
        <v>2057</v>
      </c>
      <c r="B833" t="s">
        <v>334</v>
      </c>
      <c r="C833" t="s">
        <v>2058</v>
      </c>
      <c r="D833" t="s">
        <v>42</v>
      </c>
      <c r="E833" t="s">
        <v>13</v>
      </c>
      <c r="F833" t="s">
        <v>38</v>
      </c>
      <c r="G833" t="s">
        <v>26</v>
      </c>
      <c r="H833">
        <v>2</v>
      </c>
      <c r="I833">
        <v>15000</v>
      </c>
      <c r="J833">
        <v>30000</v>
      </c>
      <c r="K833">
        <v>24600</v>
      </c>
      <c r="L833">
        <v>5400</v>
      </c>
    </row>
    <row r="834" spans="1:12" x14ac:dyDescent="0.3">
      <c r="A834" t="s">
        <v>2059</v>
      </c>
      <c r="B834" t="s">
        <v>337</v>
      </c>
      <c r="C834" t="s">
        <v>2060</v>
      </c>
      <c r="D834" t="s">
        <v>34</v>
      </c>
      <c r="E834" t="s">
        <v>24</v>
      </c>
      <c r="F834" t="s">
        <v>52</v>
      </c>
      <c r="G834" t="s">
        <v>84</v>
      </c>
      <c r="H834">
        <v>9</v>
      </c>
      <c r="I834">
        <v>3000</v>
      </c>
      <c r="J834">
        <v>27000</v>
      </c>
      <c r="K834">
        <v>22140</v>
      </c>
      <c r="L834">
        <v>4860</v>
      </c>
    </row>
    <row r="835" spans="1:12" x14ac:dyDescent="0.3">
      <c r="A835" t="s">
        <v>2061</v>
      </c>
      <c r="B835" t="s">
        <v>340</v>
      </c>
      <c r="C835" t="s">
        <v>2062</v>
      </c>
      <c r="D835" t="s">
        <v>30</v>
      </c>
      <c r="E835" t="s">
        <v>13</v>
      </c>
      <c r="F835" t="s">
        <v>38</v>
      </c>
      <c r="G835" t="s">
        <v>84</v>
      </c>
      <c r="H835">
        <v>6</v>
      </c>
      <c r="I835">
        <v>12000</v>
      </c>
      <c r="J835">
        <v>72000</v>
      </c>
      <c r="K835">
        <v>59040</v>
      </c>
      <c r="L835">
        <v>12960</v>
      </c>
    </row>
    <row r="836" spans="1:12" x14ac:dyDescent="0.3">
      <c r="A836" t="s">
        <v>2063</v>
      </c>
      <c r="B836" t="s">
        <v>343</v>
      </c>
      <c r="C836" t="s">
        <v>2064</v>
      </c>
      <c r="D836" t="s">
        <v>23</v>
      </c>
      <c r="E836" t="s">
        <v>24</v>
      </c>
      <c r="F836" t="s">
        <v>25</v>
      </c>
      <c r="G836" t="s">
        <v>15</v>
      </c>
      <c r="H836">
        <v>2</v>
      </c>
      <c r="I836">
        <v>800</v>
      </c>
      <c r="J836">
        <v>1600</v>
      </c>
      <c r="K836">
        <v>1312</v>
      </c>
      <c r="L836">
        <v>288</v>
      </c>
    </row>
    <row r="837" spans="1:12" x14ac:dyDescent="0.3">
      <c r="A837" t="s">
        <v>2065</v>
      </c>
      <c r="B837" t="s">
        <v>346</v>
      </c>
      <c r="C837" t="s">
        <v>2066</v>
      </c>
      <c r="D837" t="s">
        <v>50</v>
      </c>
      <c r="E837" t="s">
        <v>51</v>
      </c>
      <c r="F837" t="s">
        <v>52</v>
      </c>
      <c r="G837" t="s">
        <v>26</v>
      </c>
      <c r="H837">
        <v>7</v>
      </c>
      <c r="I837">
        <v>2200</v>
      </c>
      <c r="J837">
        <v>15400</v>
      </c>
      <c r="K837">
        <v>12628</v>
      </c>
      <c r="L837">
        <v>2772</v>
      </c>
    </row>
    <row r="838" spans="1:12" x14ac:dyDescent="0.3">
      <c r="A838" t="s">
        <v>2067</v>
      </c>
      <c r="B838" t="s">
        <v>349</v>
      </c>
      <c r="C838" t="s">
        <v>2068</v>
      </c>
      <c r="D838" t="s">
        <v>30</v>
      </c>
      <c r="E838" t="s">
        <v>13</v>
      </c>
      <c r="F838" t="s">
        <v>52</v>
      </c>
      <c r="G838" t="s">
        <v>26</v>
      </c>
      <c r="H838">
        <v>10</v>
      </c>
      <c r="I838">
        <v>12000</v>
      </c>
      <c r="J838">
        <v>120000</v>
      </c>
      <c r="K838">
        <v>98400</v>
      </c>
      <c r="L838">
        <v>21600</v>
      </c>
    </row>
    <row r="839" spans="1:12" x14ac:dyDescent="0.3">
      <c r="A839" t="s">
        <v>2069</v>
      </c>
      <c r="B839" t="s">
        <v>352</v>
      </c>
      <c r="C839" t="s">
        <v>2070</v>
      </c>
      <c r="D839" t="s">
        <v>106</v>
      </c>
      <c r="E839" t="s">
        <v>107</v>
      </c>
      <c r="F839" t="s">
        <v>52</v>
      </c>
      <c r="G839" t="s">
        <v>15</v>
      </c>
      <c r="H839">
        <v>2</v>
      </c>
      <c r="I839">
        <v>6500</v>
      </c>
      <c r="J839">
        <v>13000</v>
      </c>
      <c r="K839">
        <v>10660</v>
      </c>
      <c r="L839">
        <v>2340</v>
      </c>
    </row>
    <row r="840" spans="1:12" x14ac:dyDescent="0.3">
      <c r="A840" t="s">
        <v>2071</v>
      </c>
      <c r="B840" t="s">
        <v>355</v>
      </c>
      <c r="C840" t="s">
        <v>2072</v>
      </c>
      <c r="D840" t="s">
        <v>42</v>
      </c>
      <c r="E840" t="s">
        <v>13</v>
      </c>
      <c r="F840" t="s">
        <v>14</v>
      </c>
      <c r="G840" t="s">
        <v>15</v>
      </c>
      <c r="H840">
        <v>10</v>
      </c>
      <c r="I840">
        <v>15000</v>
      </c>
      <c r="J840">
        <v>150000</v>
      </c>
      <c r="K840">
        <v>122999</v>
      </c>
      <c r="L840">
        <v>27001</v>
      </c>
    </row>
    <row r="841" spans="1:12" x14ac:dyDescent="0.3">
      <c r="A841" t="s">
        <v>2073</v>
      </c>
      <c r="B841" t="s">
        <v>358</v>
      </c>
      <c r="C841" t="s">
        <v>2074</v>
      </c>
      <c r="D841" t="s">
        <v>12</v>
      </c>
      <c r="E841" t="s">
        <v>13</v>
      </c>
      <c r="F841" t="s">
        <v>14</v>
      </c>
      <c r="G841" t="s">
        <v>19</v>
      </c>
      <c r="H841">
        <v>5</v>
      </c>
      <c r="I841">
        <v>50000</v>
      </c>
      <c r="J841">
        <v>250000</v>
      </c>
      <c r="K841">
        <v>205000</v>
      </c>
      <c r="L841">
        <v>45000</v>
      </c>
    </row>
    <row r="842" spans="1:12" x14ac:dyDescent="0.3">
      <c r="A842" t="s">
        <v>2075</v>
      </c>
      <c r="B842" t="s">
        <v>361</v>
      </c>
      <c r="C842" t="s">
        <v>2076</v>
      </c>
      <c r="D842" t="s">
        <v>30</v>
      </c>
      <c r="E842" t="s">
        <v>13</v>
      </c>
      <c r="F842" t="s">
        <v>38</v>
      </c>
      <c r="G842" t="s">
        <v>19</v>
      </c>
      <c r="H842">
        <v>9</v>
      </c>
      <c r="I842">
        <v>12000</v>
      </c>
      <c r="J842">
        <v>108000</v>
      </c>
      <c r="K842">
        <v>88560</v>
      </c>
      <c r="L842">
        <v>19440</v>
      </c>
    </row>
    <row r="843" spans="1:12" x14ac:dyDescent="0.3">
      <c r="A843" t="s">
        <v>2077</v>
      </c>
      <c r="B843" t="s">
        <v>364</v>
      </c>
      <c r="C843" t="s">
        <v>2078</v>
      </c>
      <c r="D843" t="s">
        <v>106</v>
      </c>
      <c r="E843" t="s">
        <v>107</v>
      </c>
      <c r="F843" t="s">
        <v>52</v>
      </c>
      <c r="G843" t="s">
        <v>19</v>
      </c>
      <c r="H843">
        <v>4</v>
      </c>
      <c r="I843">
        <v>6500</v>
      </c>
      <c r="J843">
        <v>26000</v>
      </c>
      <c r="K843">
        <v>21320</v>
      </c>
      <c r="L843">
        <v>4680</v>
      </c>
    </row>
    <row r="844" spans="1:12" x14ac:dyDescent="0.3">
      <c r="A844" t="s">
        <v>2079</v>
      </c>
      <c r="B844" t="s">
        <v>367</v>
      </c>
      <c r="C844" t="s">
        <v>2080</v>
      </c>
      <c r="D844" t="s">
        <v>34</v>
      </c>
      <c r="E844" t="s">
        <v>24</v>
      </c>
      <c r="F844" t="s">
        <v>52</v>
      </c>
      <c r="G844" t="s">
        <v>26</v>
      </c>
      <c r="H844">
        <v>2</v>
      </c>
      <c r="I844">
        <v>3000</v>
      </c>
      <c r="J844">
        <v>6000</v>
      </c>
      <c r="K844">
        <v>4920</v>
      </c>
      <c r="L844">
        <v>1080</v>
      </c>
    </row>
    <row r="845" spans="1:12" x14ac:dyDescent="0.3">
      <c r="A845" t="s">
        <v>2081</v>
      </c>
      <c r="B845" t="s">
        <v>370</v>
      </c>
      <c r="C845" t="s">
        <v>2082</v>
      </c>
      <c r="D845" t="s">
        <v>106</v>
      </c>
      <c r="E845" t="s">
        <v>107</v>
      </c>
      <c r="F845" t="s">
        <v>38</v>
      </c>
      <c r="G845" t="s">
        <v>43</v>
      </c>
      <c r="H845">
        <v>6</v>
      </c>
      <c r="I845">
        <v>6500</v>
      </c>
      <c r="J845">
        <v>39000</v>
      </c>
      <c r="K845">
        <v>31979</v>
      </c>
      <c r="L845">
        <v>7021</v>
      </c>
    </row>
    <row r="846" spans="1:12" x14ac:dyDescent="0.3">
      <c r="A846" t="s">
        <v>2083</v>
      </c>
      <c r="B846" t="s">
        <v>373</v>
      </c>
      <c r="C846" t="s">
        <v>2084</v>
      </c>
      <c r="D846" t="s">
        <v>59</v>
      </c>
      <c r="E846" t="s">
        <v>24</v>
      </c>
      <c r="F846" t="s">
        <v>38</v>
      </c>
      <c r="G846" t="s">
        <v>43</v>
      </c>
      <c r="H846">
        <v>8</v>
      </c>
      <c r="I846">
        <v>1500</v>
      </c>
      <c r="J846">
        <v>12000</v>
      </c>
      <c r="K846">
        <v>9840</v>
      </c>
      <c r="L846">
        <v>2160</v>
      </c>
    </row>
    <row r="847" spans="1:12" x14ac:dyDescent="0.3">
      <c r="A847" t="s">
        <v>2085</v>
      </c>
      <c r="B847" t="s">
        <v>376</v>
      </c>
      <c r="C847" t="s">
        <v>2086</v>
      </c>
      <c r="D847" t="s">
        <v>50</v>
      </c>
      <c r="E847" t="s">
        <v>51</v>
      </c>
      <c r="F847" t="s">
        <v>25</v>
      </c>
      <c r="G847" t="s">
        <v>43</v>
      </c>
      <c r="H847">
        <v>2</v>
      </c>
      <c r="I847">
        <v>2200</v>
      </c>
      <c r="J847">
        <v>4400</v>
      </c>
      <c r="K847">
        <v>3608</v>
      </c>
      <c r="L847">
        <v>792</v>
      </c>
    </row>
    <row r="848" spans="1:12" x14ac:dyDescent="0.3">
      <c r="A848" t="s">
        <v>2087</v>
      </c>
      <c r="B848" t="s">
        <v>379</v>
      </c>
      <c r="C848" t="s">
        <v>2088</v>
      </c>
      <c r="D848" t="s">
        <v>23</v>
      </c>
      <c r="E848" t="s">
        <v>24</v>
      </c>
      <c r="F848" t="s">
        <v>14</v>
      </c>
      <c r="G848" t="s">
        <v>26</v>
      </c>
      <c r="H848">
        <v>6</v>
      </c>
      <c r="I848">
        <v>800</v>
      </c>
      <c r="J848">
        <v>4800</v>
      </c>
      <c r="K848">
        <v>3935</v>
      </c>
      <c r="L848">
        <v>865</v>
      </c>
    </row>
    <row r="849" spans="1:12" x14ac:dyDescent="0.3">
      <c r="A849" t="s">
        <v>2089</v>
      </c>
      <c r="B849" t="s">
        <v>382</v>
      </c>
      <c r="C849" t="s">
        <v>2090</v>
      </c>
      <c r="D849" t="s">
        <v>42</v>
      </c>
      <c r="E849" t="s">
        <v>13</v>
      </c>
      <c r="F849" t="s">
        <v>38</v>
      </c>
      <c r="G849" t="s">
        <v>26</v>
      </c>
      <c r="H849">
        <v>9</v>
      </c>
      <c r="I849">
        <v>15000</v>
      </c>
      <c r="J849">
        <v>135000</v>
      </c>
      <c r="K849">
        <v>110700</v>
      </c>
      <c r="L849">
        <v>24300</v>
      </c>
    </row>
    <row r="850" spans="1:12" x14ac:dyDescent="0.3">
      <c r="A850" t="s">
        <v>2091</v>
      </c>
      <c r="B850" t="s">
        <v>385</v>
      </c>
      <c r="C850" t="s">
        <v>2092</v>
      </c>
      <c r="D850" t="s">
        <v>30</v>
      </c>
      <c r="E850" t="s">
        <v>13</v>
      </c>
      <c r="F850" t="s">
        <v>25</v>
      </c>
      <c r="G850" t="s">
        <v>19</v>
      </c>
      <c r="H850">
        <v>6</v>
      </c>
      <c r="I850">
        <v>12000</v>
      </c>
      <c r="J850">
        <v>72000</v>
      </c>
      <c r="K850">
        <v>59040</v>
      </c>
      <c r="L850">
        <v>12960</v>
      </c>
    </row>
    <row r="851" spans="1:12" x14ac:dyDescent="0.3">
      <c r="A851" t="s">
        <v>2093</v>
      </c>
      <c r="B851" t="s">
        <v>388</v>
      </c>
      <c r="C851" t="s">
        <v>2094</v>
      </c>
      <c r="D851" t="s">
        <v>106</v>
      </c>
      <c r="E851" t="s">
        <v>107</v>
      </c>
      <c r="F851" t="s">
        <v>25</v>
      </c>
      <c r="G851" t="s">
        <v>84</v>
      </c>
      <c r="H851">
        <v>5</v>
      </c>
      <c r="I851">
        <v>6500</v>
      </c>
      <c r="J851">
        <v>32500</v>
      </c>
      <c r="K851">
        <v>26650</v>
      </c>
      <c r="L851">
        <v>5850</v>
      </c>
    </row>
    <row r="852" spans="1:12" x14ac:dyDescent="0.3">
      <c r="A852" t="s">
        <v>2095</v>
      </c>
      <c r="B852" t="s">
        <v>391</v>
      </c>
      <c r="C852" t="s">
        <v>2096</v>
      </c>
      <c r="D852" t="s">
        <v>42</v>
      </c>
      <c r="E852" t="s">
        <v>13</v>
      </c>
      <c r="F852" t="s">
        <v>38</v>
      </c>
      <c r="G852" t="s">
        <v>43</v>
      </c>
      <c r="H852">
        <v>9</v>
      </c>
      <c r="I852">
        <v>15000</v>
      </c>
      <c r="J852">
        <v>135000</v>
      </c>
      <c r="K852">
        <v>110700</v>
      </c>
      <c r="L852">
        <v>24300</v>
      </c>
    </row>
    <row r="853" spans="1:12" x14ac:dyDescent="0.3">
      <c r="A853" t="s">
        <v>2097</v>
      </c>
      <c r="B853" t="s">
        <v>394</v>
      </c>
      <c r="C853" t="s">
        <v>2098</v>
      </c>
      <c r="D853" t="s">
        <v>50</v>
      </c>
      <c r="E853" t="s">
        <v>51</v>
      </c>
      <c r="F853" t="s">
        <v>52</v>
      </c>
      <c r="G853" t="s">
        <v>84</v>
      </c>
      <c r="H853">
        <v>10</v>
      </c>
      <c r="I853">
        <v>2200</v>
      </c>
      <c r="J853">
        <v>22000</v>
      </c>
      <c r="K853">
        <v>18040</v>
      </c>
      <c r="L853">
        <v>3960</v>
      </c>
    </row>
    <row r="854" spans="1:12" x14ac:dyDescent="0.3">
      <c r="A854" t="s">
        <v>2099</v>
      </c>
      <c r="B854" t="s">
        <v>397</v>
      </c>
      <c r="C854" t="s">
        <v>2100</v>
      </c>
      <c r="D854" t="s">
        <v>106</v>
      </c>
      <c r="E854" t="s">
        <v>107</v>
      </c>
      <c r="F854" t="s">
        <v>38</v>
      </c>
      <c r="G854" t="s">
        <v>15</v>
      </c>
      <c r="H854">
        <v>6</v>
      </c>
      <c r="I854">
        <v>6500</v>
      </c>
      <c r="J854">
        <v>39000</v>
      </c>
      <c r="K854">
        <v>31979</v>
      </c>
      <c r="L854">
        <v>7021</v>
      </c>
    </row>
    <row r="855" spans="1:12" x14ac:dyDescent="0.3">
      <c r="A855" t="s">
        <v>2101</v>
      </c>
      <c r="B855" t="s">
        <v>400</v>
      </c>
      <c r="C855" t="s">
        <v>2102</v>
      </c>
      <c r="D855" t="s">
        <v>34</v>
      </c>
      <c r="E855" t="s">
        <v>24</v>
      </c>
      <c r="F855" t="s">
        <v>38</v>
      </c>
      <c r="G855" t="s">
        <v>19</v>
      </c>
      <c r="H855">
        <v>4</v>
      </c>
      <c r="I855">
        <v>3000</v>
      </c>
      <c r="J855">
        <v>12000</v>
      </c>
      <c r="K855">
        <v>9840</v>
      </c>
      <c r="L855">
        <v>2160</v>
      </c>
    </row>
    <row r="856" spans="1:12" x14ac:dyDescent="0.3">
      <c r="A856" t="s">
        <v>2103</v>
      </c>
      <c r="B856" t="s">
        <v>403</v>
      </c>
      <c r="C856" t="s">
        <v>2104</v>
      </c>
      <c r="D856" t="s">
        <v>12</v>
      </c>
      <c r="E856" t="s">
        <v>13</v>
      </c>
      <c r="F856" t="s">
        <v>25</v>
      </c>
      <c r="G856" t="s">
        <v>26</v>
      </c>
      <c r="H856">
        <v>6</v>
      </c>
      <c r="I856">
        <v>50000</v>
      </c>
      <c r="J856">
        <v>300000</v>
      </c>
      <c r="K856">
        <v>245999</v>
      </c>
      <c r="L856">
        <v>54001</v>
      </c>
    </row>
    <row r="857" spans="1:12" x14ac:dyDescent="0.3">
      <c r="A857" t="s">
        <v>2105</v>
      </c>
      <c r="B857" t="s">
        <v>406</v>
      </c>
      <c r="C857" t="s">
        <v>2106</v>
      </c>
      <c r="D857" t="s">
        <v>30</v>
      </c>
      <c r="E857" t="s">
        <v>13</v>
      </c>
      <c r="F857" t="s">
        <v>52</v>
      </c>
      <c r="G857" t="s">
        <v>26</v>
      </c>
      <c r="H857">
        <v>2</v>
      </c>
      <c r="I857">
        <v>12000</v>
      </c>
      <c r="J857">
        <v>24000</v>
      </c>
      <c r="K857">
        <v>19680</v>
      </c>
      <c r="L857">
        <v>4320</v>
      </c>
    </row>
    <row r="858" spans="1:12" x14ac:dyDescent="0.3">
      <c r="A858" t="s">
        <v>2107</v>
      </c>
      <c r="B858" t="s">
        <v>409</v>
      </c>
      <c r="C858" t="s">
        <v>2108</v>
      </c>
      <c r="D858" t="s">
        <v>106</v>
      </c>
      <c r="E858" t="s">
        <v>107</v>
      </c>
      <c r="F858" t="s">
        <v>52</v>
      </c>
      <c r="G858" t="s">
        <v>26</v>
      </c>
      <c r="H858">
        <v>1</v>
      </c>
      <c r="I858">
        <v>6500</v>
      </c>
      <c r="J858">
        <v>6500</v>
      </c>
      <c r="K858">
        <v>5330</v>
      </c>
      <c r="L858">
        <v>1170</v>
      </c>
    </row>
    <row r="859" spans="1:12" x14ac:dyDescent="0.3">
      <c r="A859" t="s">
        <v>2109</v>
      </c>
      <c r="B859" t="s">
        <v>412</v>
      </c>
      <c r="C859" t="s">
        <v>2110</v>
      </c>
      <c r="D859" t="s">
        <v>34</v>
      </c>
      <c r="E859" t="s">
        <v>24</v>
      </c>
      <c r="F859" t="s">
        <v>14</v>
      </c>
      <c r="G859" t="s">
        <v>15</v>
      </c>
      <c r="H859">
        <v>8</v>
      </c>
      <c r="I859">
        <v>3000</v>
      </c>
      <c r="J859">
        <v>24000</v>
      </c>
      <c r="K859">
        <v>19680</v>
      </c>
      <c r="L859">
        <v>4320</v>
      </c>
    </row>
    <row r="860" spans="1:12" x14ac:dyDescent="0.3">
      <c r="A860" t="s">
        <v>2111</v>
      </c>
      <c r="B860" t="s">
        <v>415</v>
      </c>
      <c r="C860" t="s">
        <v>2112</v>
      </c>
      <c r="D860" t="s">
        <v>12</v>
      </c>
      <c r="E860" t="s">
        <v>13</v>
      </c>
      <c r="F860" t="s">
        <v>38</v>
      </c>
      <c r="G860" t="s">
        <v>19</v>
      </c>
      <c r="H860">
        <v>2</v>
      </c>
      <c r="I860">
        <v>50000</v>
      </c>
      <c r="J860">
        <v>100000</v>
      </c>
      <c r="K860">
        <v>82000</v>
      </c>
      <c r="L860">
        <v>18000</v>
      </c>
    </row>
    <row r="861" spans="1:12" x14ac:dyDescent="0.3">
      <c r="A861" t="s">
        <v>2113</v>
      </c>
      <c r="B861" t="s">
        <v>418</v>
      </c>
      <c r="C861" t="s">
        <v>2114</v>
      </c>
      <c r="D861" t="s">
        <v>30</v>
      </c>
      <c r="E861" t="s">
        <v>13</v>
      </c>
      <c r="F861" t="s">
        <v>52</v>
      </c>
      <c r="G861" t="s">
        <v>43</v>
      </c>
      <c r="H861">
        <v>10</v>
      </c>
      <c r="I861">
        <v>12000</v>
      </c>
      <c r="J861">
        <v>120000</v>
      </c>
      <c r="K861">
        <v>98400</v>
      </c>
      <c r="L861">
        <v>21600</v>
      </c>
    </row>
    <row r="862" spans="1:12" x14ac:dyDescent="0.3">
      <c r="A862" t="s">
        <v>2115</v>
      </c>
      <c r="B862" t="s">
        <v>421</v>
      </c>
      <c r="C862" t="s">
        <v>2116</v>
      </c>
      <c r="D862" t="s">
        <v>30</v>
      </c>
      <c r="E862" t="s">
        <v>13</v>
      </c>
      <c r="F862" t="s">
        <v>38</v>
      </c>
      <c r="G862" t="s">
        <v>26</v>
      </c>
      <c r="H862">
        <v>4</v>
      </c>
      <c r="I862">
        <v>12000</v>
      </c>
      <c r="J862">
        <v>48000</v>
      </c>
      <c r="K862">
        <v>39360</v>
      </c>
      <c r="L862">
        <v>8640</v>
      </c>
    </row>
    <row r="863" spans="1:12" x14ac:dyDescent="0.3">
      <c r="A863" t="s">
        <v>2117</v>
      </c>
      <c r="B863" t="s">
        <v>424</v>
      </c>
      <c r="C863" t="s">
        <v>2118</v>
      </c>
      <c r="D863" t="s">
        <v>12</v>
      </c>
      <c r="E863" t="s">
        <v>13</v>
      </c>
      <c r="F863" t="s">
        <v>14</v>
      </c>
      <c r="G863" t="s">
        <v>15</v>
      </c>
      <c r="H863">
        <v>6</v>
      </c>
      <c r="I863">
        <v>50000</v>
      </c>
      <c r="J863">
        <v>300000</v>
      </c>
      <c r="K863">
        <v>245999</v>
      </c>
      <c r="L863">
        <v>54001</v>
      </c>
    </row>
    <row r="864" spans="1:12" x14ac:dyDescent="0.3">
      <c r="A864" t="s">
        <v>2119</v>
      </c>
      <c r="B864" t="s">
        <v>427</v>
      </c>
      <c r="C864" t="s">
        <v>2120</v>
      </c>
      <c r="D864" t="s">
        <v>59</v>
      </c>
      <c r="E864" t="s">
        <v>24</v>
      </c>
      <c r="F864" t="s">
        <v>14</v>
      </c>
      <c r="G864" t="s">
        <v>26</v>
      </c>
      <c r="H864">
        <v>2</v>
      </c>
      <c r="I864">
        <v>1500</v>
      </c>
      <c r="J864">
        <v>3000</v>
      </c>
      <c r="K864">
        <v>2460</v>
      </c>
      <c r="L864">
        <v>540</v>
      </c>
    </row>
    <row r="865" spans="1:12" x14ac:dyDescent="0.3">
      <c r="A865" t="s">
        <v>2121</v>
      </c>
      <c r="B865" t="s">
        <v>430</v>
      </c>
      <c r="C865" t="s">
        <v>2122</v>
      </c>
      <c r="D865" t="s">
        <v>106</v>
      </c>
      <c r="E865" t="s">
        <v>107</v>
      </c>
      <c r="F865" t="s">
        <v>14</v>
      </c>
      <c r="G865" t="s">
        <v>26</v>
      </c>
      <c r="H865">
        <v>9</v>
      </c>
      <c r="I865">
        <v>6500</v>
      </c>
      <c r="J865">
        <v>58500</v>
      </c>
      <c r="K865">
        <v>47970</v>
      </c>
      <c r="L865">
        <v>10530</v>
      </c>
    </row>
    <row r="866" spans="1:12" x14ac:dyDescent="0.3">
      <c r="A866" t="s">
        <v>2123</v>
      </c>
      <c r="B866" t="s">
        <v>433</v>
      </c>
      <c r="C866" t="s">
        <v>2124</v>
      </c>
      <c r="D866" t="s">
        <v>59</v>
      </c>
      <c r="E866" t="s">
        <v>24</v>
      </c>
      <c r="F866" t="s">
        <v>14</v>
      </c>
      <c r="G866" t="s">
        <v>26</v>
      </c>
      <c r="H866">
        <v>7</v>
      </c>
      <c r="I866">
        <v>1500</v>
      </c>
      <c r="J866">
        <v>10500</v>
      </c>
      <c r="K866">
        <v>8610</v>
      </c>
      <c r="L866">
        <v>1890</v>
      </c>
    </row>
    <row r="867" spans="1:12" x14ac:dyDescent="0.3">
      <c r="A867" t="s">
        <v>2125</v>
      </c>
      <c r="B867" t="s">
        <v>436</v>
      </c>
      <c r="C867" t="s">
        <v>2126</v>
      </c>
      <c r="D867" t="s">
        <v>106</v>
      </c>
      <c r="E867" t="s">
        <v>107</v>
      </c>
      <c r="F867" t="s">
        <v>25</v>
      </c>
      <c r="G867" t="s">
        <v>19</v>
      </c>
      <c r="H867">
        <v>5</v>
      </c>
      <c r="I867">
        <v>6500</v>
      </c>
      <c r="J867">
        <v>32500</v>
      </c>
      <c r="K867">
        <v>26650</v>
      </c>
      <c r="L867">
        <v>5850</v>
      </c>
    </row>
    <row r="868" spans="1:12" x14ac:dyDescent="0.3">
      <c r="A868" t="s">
        <v>2127</v>
      </c>
      <c r="B868" t="s">
        <v>439</v>
      </c>
      <c r="C868" t="s">
        <v>2128</v>
      </c>
      <c r="D868" t="s">
        <v>50</v>
      </c>
      <c r="E868" t="s">
        <v>51</v>
      </c>
      <c r="F868" t="s">
        <v>52</v>
      </c>
      <c r="G868" t="s">
        <v>15</v>
      </c>
      <c r="H868">
        <v>3</v>
      </c>
      <c r="I868">
        <v>2200</v>
      </c>
      <c r="J868">
        <v>6600</v>
      </c>
      <c r="K868">
        <v>5412</v>
      </c>
      <c r="L868">
        <v>1188</v>
      </c>
    </row>
    <row r="869" spans="1:12" x14ac:dyDescent="0.3">
      <c r="A869" t="s">
        <v>2129</v>
      </c>
      <c r="B869" t="s">
        <v>442</v>
      </c>
      <c r="C869" t="s">
        <v>2130</v>
      </c>
      <c r="D869" t="s">
        <v>42</v>
      </c>
      <c r="E869" t="s">
        <v>13</v>
      </c>
      <c r="F869" t="s">
        <v>25</v>
      </c>
      <c r="G869" t="s">
        <v>15</v>
      </c>
      <c r="H869">
        <v>10</v>
      </c>
      <c r="I869">
        <v>15000</v>
      </c>
      <c r="J869">
        <v>150000</v>
      </c>
      <c r="K869">
        <v>122999</v>
      </c>
      <c r="L869">
        <v>27001</v>
      </c>
    </row>
    <row r="870" spans="1:12" x14ac:dyDescent="0.3">
      <c r="A870" t="s">
        <v>2131</v>
      </c>
      <c r="B870" t="s">
        <v>445</v>
      </c>
      <c r="C870" t="s">
        <v>2132</v>
      </c>
      <c r="D870" t="s">
        <v>42</v>
      </c>
      <c r="E870" t="s">
        <v>13</v>
      </c>
      <c r="F870" t="s">
        <v>38</v>
      </c>
      <c r="G870" t="s">
        <v>43</v>
      </c>
      <c r="H870">
        <v>2</v>
      </c>
      <c r="I870">
        <v>15000</v>
      </c>
      <c r="J870">
        <v>30000</v>
      </c>
      <c r="K870">
        <v>24600</v>
      </c>
      <c r="L870">
        <v>5400</v>
      </c>
    </row>
    <row r="871" spans="1:12" x14ac:dyDescent="0.3">
      <c r="A871" t="s">
        <v>2133</v>
      </c>
      <c r="B871" t="s">
        <v>448</v>
      </c>
      <c r="C871" t="s">
        <v>2134</v>
      </c>
      <c r="D871" t="s">
        <v>30</v>
      </c>
      <c r="E871" t="s">
        <v>13</v>
      </c>
      <c r="F871" t="s">
        <v>38</v>
      </c>
      <c r="G871" t="s">
        <v>15</v>
      </c>
      <c r="H871">
        <v>4</v>
      </c>
      <c r="I871">
        <v>12000</v>
      </c>
      <c r="J871">
        <v>48000</v>
      </c>
      <c r="K871">
        <v>39360</v>
      </c>
      <c r="L871">
        <v>8640</v>
      </c>
    </row>
    <row r="872" spans="1:12" x14ac:dyDescent="0.3">
      <c r="A872" t="s">
        <v>2135</v>
      </c>
      <c r="B872" t="s">
        <v>451</v>
      </c>
      <c r="C872" t="s">
        <v>2136</v>
      </c>
      <c r="D872" t="s">
        <v>106</v>
      </c>
      <c r="E872" t="s">
        <v>107</v>
      </c>
      <c r="F872" t="s">
        <v>38</v>
      </c>
      <c r="G872" t="s">
        <v>84</v>
      </c>
      <c r="H872">
        <v>4</v>
      </c>
      <c r="I872">
        <v>6500</v>
      </c>
      <c r="J872">
        <v>26000</v>
      </c>
      <c r="K872">
        <v>21320</v>
      </c>
      <c r="L872">
        <v>4680</v>
      </c>
    </row>
    <row r="873" spans="1:12" x14ac:dyDescent="0.3">
      <c r="A873" t="s">
        <v>2137</v>
      </c>
      <c r="B873" t="s">
        <v>454</v>
      </c>
      <c r="C873" t="s">
        <v>2138</v>
      </c>
      <c r="D873" t="s">
        <v>30</v>
      </c>
      <c r="E873" t="s">
        <v>13</v>
      </c>
      <c r="F873" t="s">
        <v>38</v>
      </c>
      <c r="G873" t="s">
        <v>26</v>
      </c>
      <c r="H873">
        <v>9</v>
      </c>
      <c r="I873">
        <v>12000</v>
      </c>
      <c r="J873">
        <v>108000</v>
      </c>
      <c r="K873">
        <v>88560</v>
      </c>
      <c r="L873">
        <v>19440</v>
      </c>
    </row>
    <row r="874" spans="1:12" x14ac:dyDescent="0.3">
      <c r="A874" t="s">
        <v>2139</v>
      </c>
      <c r="B874" t="s">
        <v>457</v>
      </c>
      <c r="C874" t="s">
        <v>2140</v>
      </c>
      <c r="D874" t="s">
        <v>42</v>
      </c>
      <c r="E874" t="s">
        <v>13</v>
      </c>
      <c r="F874" t="s">
        <v>14</v>
      </c>
      <c r="G874" t="s">
        <v>15</v>
      </c>
      <c r="H874">
        <v>10</v>
      </c>
      <c r="I874">
        <v>15000</v>
      </c>
      <c r="J874">
        <v>150000</v>
      </c>
      <c r="K874">
        <v>122999</v>
      </c>
      <c r="L874">
        <v>27001</v>
      </c>
    </row>
    <row r="875" spans="1:12" x14ac:dyDescent="0.3">
      <c r="A875" t="s">
        <v>2141</v>
      </c>
      <c r="B875" t="s">
        <v>460</v>
      </c>
      <c r="C875" t="s">
        <v>2142</v>
      </c>
      <c r="D875" t="s">
        <v>12</v>
      </c>
      <c r="E875" t="s">
        <v>13</v>
      </c>
      <c r="F875" t="s">
        <v>14</v>
      </c>
      <c r="G875" t="s">
        <v>84</v>
      </c>
      <c r="H875">
        <v>8</v>
      </c>
      <c r="I875">
        <v>50000</v>
      </c>
      <c r="J875">
        <v>400000</v>
      </c>
      <c r="K875">
        <v>328000</v>
      </c>
      <c r="L875">
        <v>72000</v>
      </c>
    </row>
    <row r="876" spans="1:12" x14ac:dyDescent="0.3">
      <c r="A876" t="s">
        <v>2143</v>
      </c>
      <c r="B876" t="s">
        <v>463</v>
      </c>
      <c r="C876" t="s">
        <v>2144</v>
      </c>
      <c r="D876" t="s">
        <v>59</v>
      </c>
      <c r="E876" t="s">
        <v>24</v>
      </c>
      <c r="F876" t="s">
        <v>52</v>
      </c>
      <c r="G876" t="s">
        <v>15</v>
      </c>
      <c r="H876">
        <v>7</v>
      </c>
      <c r="I876">
        <v>1500</v>
      </c>
      <c r="J876">
        <v>10500</v>
      </c>
      <c r="K876">
        <v>8610</v>
      </c>
      <c r="L876">
        <v>1890</v>
      </c>
    </row>
    <row r="877" spans="1:12" x14ac:dyDescent="0.3">
      <c r="A877" t="s">
        <v>2145</v>
      </c>
      <c r="B877" t="s">
        <v>466</v>
      </c>
      <c r="C877" t="s">
        <v>2146</v>
      </c>
      <c r="D877" t="s">
        <v>42</v>
      </c>
      <c r="E877" t="s">
        <v>13</v>
      </c>
      <c r="F877" t="s">
        <v>25</v>
      </c>
      <c r="G877" t="s">
        <v>43</v>
      </c>
      <c r="H877">
        <v>3</v>
      </c>
      <c r="I877">
        <v>15000</v>
      </c>
      <c r="J877">
        <v>45000</v>
      </c>
      <c r="K877">
        <v>36900</v>
      </c>
      <c r="L877">
        <v>8100</v>
      </c>
    </row>
    <row r="878" spans="1:12" x14ac:dyDescent="0.3">
      <c r="A878" t="s">
        <v>2147</v>
      </c>
      <c r="B878" t="s">
        <v>469</v>
      </c>
      <c r="C878" t="s">
        <v>2148</v>
      </c>
      <c r="D878" t="s">
        <v>23</v>
      </c>
      <c r="E878" t="s">
        <v>24</v>
      </c>
      <c r="F878" t="s">
        <v>25</v>
      </c>
      <c r="G878" t="s">
        <v>15</v>
      </c>
      <c r="H878">
        <v>10</v>
      </c>
      <c r="I878">
        <v>800</v>
      </c>
      <c r="J878">
        <v>8000</v>
      </c>
      <c r="K878">
        <v>6560</v>
      </c>
      <c r="L878">
        <v>1440</v>
      </c>
    </row>
    <row r="879" spans="1:12" x14ac:dyDescent="0.3">
      <c r="A879" t="s">
        <v>2149</v>
      </c>
      <c r="B879" t="s">
        <v>472</v>
      </c>
      <c r="C879" t="s">
        <v>2150</v>
      </c>
      <c r="D879" t="s">
        <v>42</v>
      </c>
      <c r="E879" t="s">
        <v>13</v>
      </c>
      <c r="F879" t="s">
        <v>25</v>
      </c>
      <c r="G879" t="s">
        <v>26</v>
      </c>
      <c r="H879">
        <v>5</v>
      </c>
      <c r="I879">
        <v>15000</v>
      </c>
      <c r="J879">
        <v>75000</v>
      </c>
      <c r="K879">
        <v>61499</v>
      </c>
      <c r="L879">
        <v>13501</v>
      </c>
    </row>
    <row r="880" spans="1:12" x14ac:dyDescent="0.3">
      <c r="A880" t="s">
        <v>2151</v>
      </c>
      <c r="B880" t="s">
        <v>475</v>
      </c>
      <c r="C880" t="s">
        <v>2152</v>
      </c>
      <c r="D880" t="s">
        <v>30</v>
      </c>
      <c r="E880" t="s">
        <v>13</v>
      </c>
      <c r="F880" t="s">
        <v>38</v>
      </c>
      <c r="G880" t="s">
        <v>84</v>
      </c>
      <c r="H880">
        <v>9</v>
      </c>
      <c r="I880">
        <v>12000</v>
      </c>
      <c r="J880">
        <v>108000</v>
      </c>
      <c r="K880">
        <v>88560</v>
      </c>
      <c r="L880">
        <v>19440</v>
      </c>
    </row>
    <row r="881" spans="1:12" x14ac:dyDescent="0.3">
      <c r="A881" t="s">
        <v>2153</v>
      </c>
      <c r="B881" t="s">
        <v>478</v>
      </c>
      <c r="C881" t="s">
        <v>2154</v>
      </c>
      <c r="D881" t="s">
        <v>12</v>
      </c>
      <c r="E881" t="s">
        <v>13</v>
      </c>
      <c r="F881" t="s">
        <v>52</v>
      </c>
      <c r="G881" t="s">
        <v>26</v>
      </c>
      <c r="H881">
        <v>1</v>
      </c>
      <c r="I881">
        <v>50000</v>
      </c>
      <c r="J881">
        <v>50000</v>
      </c>
      <c r="K881">
        <v>41000</v>
      </c>
      <c r="L881">
        <v>9000</v>
      </c>
    </row>
    <row r="882" spans="1:12" x14ac:dyDescent="0.3">
      <c r="A882" t="s">
        <v>2155</v>
      </c>
      <c r="B882" t="s">
        <v>481</v>
      </c>
      <c r="C882" t="s">
        <v>2156</v>
      </c>
      <c r="D882" t="s">
        <v>23</v>
      </c>
      <c r="E882" t="s">
        <v>24</v>
      </c>
      <c r="F882" t="s">
        <v>38</v>
      </c>
      <c r="G882" t="s">
        <v>43</v>
      </c>
      <c r="H882">
        <v>9</v>
      </c>
      <c r="I882">
        <v>800</v>
      </c>
      <c r="J882">
        <v>7200</v>
      </c>
      <c r="K882">
        <v>5904</v>
      </c>
      <c r="L882">
        <v>1296</v>
      </c>
    </row>
    <row r="883" spans="1:12" x14ac:dyDescent="0.3">
      <c r="A883" t="s">
        <v>2157</v>
      </c>
      <c r="B883" t="s">
        <v>484</v>
      </c>
      <c r="C883" t="s">
        <v>2158</v>
      </c>
      <c r="D883" t="s">
        <v>50</v>
      </c>
      <c r="E883" t="s">
        <v>51</v>
      </c>
      <c r="F883" t="s">
        <v>38</v>
      </c>
      <c r="G883" t="s">
        <v>43</v>
      </c>
      <c r="H883">
        <v>6</v>
      </c>
      <c r="I883">
        <v>2200</v>
      </c>
      <c r="J883">
        <v>13200</v>
      </c>
      <c r="K883">
        <v>10824</v>
      </c>
      <c r="L883">
        <v>2376</v>
      </c>
    </row>
    <row r="884" spans="1:12" x14ac:dyDescent="0.3">
      <c r="A884" t="s">
        <v>2159</v>
      </c>
      <c r="B884" t="s">
        <v>487</v>
      </c>
      <c r="C884" t="s">
        <v>2160</v>
      </c>
      <c r="D884" t="s">
        <v>30</v>
      </c>
      <c r="E884" t="s">
        <v>13</v>
      </c>
      <c r="F884" t="s">
        <v>38</v>
      </c>
      <c r="G884" t="s">
        <v>26</v>
      </c>
      <c r="H884">
        <v>8</v>
      </c>
      <c r="I884">
        <v>12000</v>
      </c>
      <c r="J884">
        <v>96000</v>
      </c>
      <c r="K884">
        <v>78720</v>
      </c>
      <c r="L884">
        <v>17280</v>
      </c>
    </row>
    <row r="885" spans="1:12" x14ac:dyDescent="0.3">
      <c r="A885" t="s">
        <v>2161</v>
      </c>
      <c r="B885" t="s">
        <v>490</v>
      </c>
      <c r="C885" t="s">
        <v>2162</v>
      </c>
      <c r="D885" t="s">
        <v>30</v>
      </c>
      <c r="E885" t="s">
        <v>13</v>
      </c>
      <c r="F885" t="s">
        <v>52</v>
      </c>
      <c r="G885" t="s">
        <v>26</v>
      </c>
      <c r="H885">
        <v>2</v>
      </c>
      <c r="I885">
        <v>12000</v>
      </c>
      <c r="J885">
        <v>24000</v>
      </c>
      <c r="K885">
        <v>19680</v>
      </c>
      <c r="L885">
        <v>4320</v>
      </c>
    </row>
    <row r="886" spans="1:12" x14ac:dyDescent="0.3">
      <c r="A886" t="s">
        <v>2163</v>
      </c>
      <c r="B886" t="s">
        <v>493</v>
      </c>
      <c r="C886" t="s">
        <v>2164</v>
      </c>
      <c r="D886" t="s">
        <v>34</v>
      </c>
      <c r="E886" t="s">
        <v>24</v>
      </c>
      <c r="F886" t="s">
        <v>52</v>
      </c>
      <c r="G886" t="s">
        <v>43</v>
      </c>
      <c r="H886">
        <v>7</v>
      </c>
      <c r="I886">
        <v>3000</v>
      </c>
      <c r="J886">
        <v>21000</v>
      </c>
      <c r="K886">
        <v>17220</v>
      </c>
      <c r="L886">
        <v>3780</v>
      </c>
    </row>
    <row r="887" spans="1:12" x14ac:dyDescent="0.3">
      <c r="A887" t="s">
        <v>2165</v>
      </c>
      <c r="B887" t="s">
        <v>496</v>
      </c>
      <c r="C887" t="s">
        <v>2166</v>
      </c>
      <c r="D887" t="s">
        <v>23</v>
      </c>
      <c r="E887" t="s">
        <v>24</v>
      </c>
      <c r="F887" t="s">
        <v>38</v>
      </c>
      <c r="G887" t="s">
        <v>26</v>
      </c>
      <c r="H887">
        <v>9</v>
      </c>
      <c r="I887">
        <v>800</v>
      </c>
      <c r="J887">
        <v>7200</v>
      </c>
      <c r="K887">
        <v>5904</v>
      </c>
      <c r="L887">
        <v>1296</v>
      </c>
    </row>
    <row r="888" spans="1:12" x14ac:dyDescent="0.3">
      <c r="A888" t="s">
        <v>2167</v>
      </c>
      <c r="B888" t="s">
        <v>499</v>
      </c>
      <c r="C888" t="s">
        <v>2168</v>
      </c>
      <c r="D888" t="s">
        <v>12</v>
      </c>
      <c r="E888" t="s">
        <v>13</v>
      </c>
      <c r="F888" t="s">
        <v>14</v>
      </c>
      <c r="G888" t="s">
        <v>84</v>
      </c>
      <c r="H888">
        <v>9</v>
      </c>
      <c r="I888">
        <v>50000</v>
      </c>
      <c r="J888">
        <v>450000</v>
      </c>
      <c r="K888">
        <v>369000</v>
      </c>
      <c r="L888">
        <v>81000</v>
      </c>
    </row>
    <row r="889" spans="1:12" x14ac:dyDescent="0.3">
      <c r="A889" t="s">
        <v>2169</v>
      </c>
      <c r="B889" t="s">
        <v>502</v>
      </c>
      <c r="C889" t="s">
        <v>2170</v>
      </c>
      <c r="D889" t="s">
        <v>23</v>
      </c>
      <c r="E889" t="s">
        <v>24</v>
      </c>
      <c r="F889" t="s">
        <v>52</v>
      </c>
      <c r="G889" t="s">
        <v>15</v>
      </c>
      <c r="H889">
        <v>3</v>
      </c>
      <c r="I889">
        <v>800</v>
      </c>
      <c r="J889">
        <v>2400</v>
      </c>
      <c r="K889">
        <v>1967</v>
      </c>
      <c r="L889">
        <v>433</v>
      </c>
    </row>
    <row r="890" spans="1:12" x14ac:dyDescent="0.3">
      <c r="A890" t="s">
        <v>2171</v>
      </c>
      <c r="B890" t="s">
        <v>505</v>
      </c>
      <c r="C890" t="s">
        <v>2172</v>
      </c>
      <c r="D890" t="s">
        <v>59</v>
      </c>
      <c r="E890" t="s">
        <v>24</v>
      </c>
      <c r="F890" t="s">
        <v>25</v>
      </c>
      <c r="G890" t="s">
        <v>15</v>
      </c>
      <c r="H890">
        <v>3</v>
      </c>
      <c r="I890">
        <v>1500</v>
      </c>
      <c r="J890">
        <v>4500</v>
      </c>
      <c r="K890">
        <v>3690</v>
      </c>
      <c r="L890">
        <v>810</v>
      </c>
    </row>
    <row r="891" spans="1:12" x14ac:dyDescent="0.3">
      <c r="A891" t="s">
        <v>2173</v>
      </c>
      <c r="B891" t="s">
        <v>508</v>
      </c>
      <c r="C891" t="s">
        <v>2174</v>
      </c>
      <c r="D891" t="s">
        <v>30</v>
      </c>
      <c r="E891" t="s">
        <v>13</v>
      </c>
      <c r="F891" t="s">
        <v>38</v>
      </c>
      <c r="G891" t="s">
        <v>26</v>
      </c>
      <c r="H891">
        <v>2</v>
      </c>
      <c r="I891">
        <v>12000</v>
      </c>
      <c r="J891">
        <v>24000</v>
      </c>
      <c r="K891">
        <v>19680</v>
      </c>
      <c r="L891">
        <v>4320</v>
      </c>
    </row>
    <row r="892" spans="1:12" x14ac:dyDescent="0.3">
      <c r="A892" t="s">
        <v>2175</v>
      </c>
      <c r="B892" t="s">
        <v>511</v>
      </c>
      <c r="C892" t="s">
        <v>2176</v>
      </c>
      <c r="D892" t="s">
        <v>34</v>
      </c>
      <c r="E892" t="s">
        <v>24</v>
      </c>
      <c r="F892" t="s">
        <v>14</v>
      </c>
      <c r="G892" t="s">
        <v>43</v>
      </c>
      <c r="H892">
        <v>2</v>
      </c>
      <c r="I892">
        <v>3000</v>
      </c>
      <c r="J892">
        <v>6000</v>
      </c>
      <c r="K892">
        <v>4920</v>
      </c>
      <c r="L892">
        <v>1080</v>
      </c>
    </row>
    <row r="893" spans="1:12" x14ac:dyDescent="0.3">
      <c r="A893" t="s">
        <v>2177</v>
      </c>
      <c r="B893" t="s">
        <v>514</v>
      </c>
      <c r="C893" t="s">
        <v>2178</v>
      </c>
      <c r="D893" t="s">
        <v>34</v>
      </c>
      <c r="E893" t="s">
        <v>24</v>
      </c>
      <c r="F893" t="s">
        <v>25</v>
      </c>
      <c r="G893" t="s">
        <v>43</v>
      </c>
      <c r="H893">
        <v>7</v>
      </c>
      <c r="I893">
        <v>3000</v>
      </c>
      <c r="J893">
        <v>21000</v>
      </c>
      <c r="K893">
        <v>17220</v>
      </c>
      <c r="L893">
        <v>3780</v>
      </c>
    </row>
    <row r="894" spans="1:12" x14ac:dyDescent="0.3">
      <c r="A894" t="s">
        <v>2179</v>
      </c>
      <c r="B894" t="s">
        <v>517</v>
      </c>
      <c r="C894" t="s">
        <v>2180</v>
      </c>
      <c r="D894" t="s">
        <v>12</v>
      </c>
      <c r="E894" t="s">
        <v>13</v>
      </c>
      <c r="F894" t="s">
        <v>25</v>
      </c>
      <c r="G894" t="s">
        <v>84</v>
      </c>
      <c r="H894">
        <v>1</v>
      </c>
      <c r="I894">
        <v>50000</v>
      </c>
      <c r="J894">
        <v>50000</v>
      </c>
      <c r="K894">
        <v>41000</v>
      </c>
      <c r="L894">
        <v>9000</v>
      </c>
    </row>
    <row r="895" spans="1:12" x14ac:dyDescent="0.3">
      <c r="A895" t="s">
        <v>2181</v>
      </c>
      <c r="B895" t="s">
        <v>520</v>
      </c>
      <c r="C895" t="s">
        <v>2182</v>
      </c>
      <c r="D895" t="s">
        <v>42</v>
      </c>
      <c r="E895" t="s">
        <v>13</v>
      </c>
      <c r="F895" t="s">
        <v>14</v>
      </c>
      <c r="G895" t="s">
        <v>26</v>
      </c>
      <c r="H895">
        <v>9</v>
      </c>
      <c r="I895">
        <v>15000</v>
      </c>
      <c r="J895">
        <v>135000</v>
      </c>
      <c r="K895">
        <v>110700</v>
      </c>
      <c r="L895">
        <v>24300</v>
      </c>
    </row>
    <row r="896" spans="1:12" x14ac:dyDescent="0.3">
      <c r="A896" t="s">
        <v>2183</v>
      </c>
      <c r="B896" t="s">
        <v>523</v>
      </c>
      <c r="C896" t="s">
        <v>2184</v>
      </c>
      <c r="D896" t="s">
        <v>59</v>
      </c>
      <c r="E896" t="s">
        <v>24</v>
      </c>
      <c r="F896" t="s">
        <v>52</v>
      </c>
      <c r="G896" t="s">
        <v>26</v>
      </c>
      <c r="H896">
        <v>4</v>
      </c>
      <c r="I896">
        <v>1500</v>
      </c>
      <c r="J896">
        <v>6000</v>
      </c>
      <c r="K896">
        <v>4920</v>
      </c>
      <c r="L896">
        <v>1080</v>
      </c>
    </row>
    <row r="897" spans="1:12" x14ac:dyDescent="0.3">
      <c r="A897" t="s">
        <v>2185</v>
      </c>
      <c r="B897" t="s">
        <v>526</v>
      </c>
      <c r="C897" t="s">
        <v>2186</v>
      </c>
      <c r="D897" t="s">
        <v>34</v>
      </c>
      <c r="E897" t="s">
        <v>24</v>
      </c>
      <c r="F897" t="s">
        <v>52</v>
      </c>
      <c r="G897" t="s">
        <v>19</v>
      </c>
      <c r="H897">
        <v>5</v>
      </c>
      <c r="I897">
        <v>3000</v>
      </c>
      <c r="J897">
        <v>15000</v>
      </c>
      <c r="K897">
        <v>12300</v>
      </c>
      <c r="L897">
        <v>2700</v>
      </c>
    </row>
    <row r="898" spans="1:12" x14ac:dyDescent="0.3">
      <c r="A898" t="s">
        <v>2187</v>
      </c>
      <c r="B898" t="s">
        <v>529</v>
      </c>
      <c r="C898" t="s">
        <v>2188</v>
      </c>
      <c r="D898" t="s">
        <v>59</v>
      </c>
      <c r="E898" t="s">
        <v>24</v>
      </c>
      <c r="F898" t="s">
        <v>38</v>
      </c>
      <c r="G898" t="s">
        <v>84</v>
      </c>
      <c r="H898">
        <v>3</v>
      </c>
      <c r="I898">
        <v>1500</v>
      </c>
      <c r="J898">
        <v>4500</v>
      </c>
      <c r="K898">
        <v>3690</v>
      </c>
      <c r="L898">
        <v>810</v>
      </c>
    </row>
    <row r="899" spans="1:12" x14ac:dyDescent="0.3">
      <c r="A899" t="s">
        <v>2189</v>
      </c>
      <c r="B899" t="s">
        <v>532</v>
      </c>
      <c r="C899" t="s">
        <v>2190</v>
      </c>
      <c r="D899" t="s">
        <v>34</v>
      </c>
      <c r="E899" t="s">
        <v>24</v>
      </c>
      <c r="F899" t="s">
        <v>25</v>
      </c>
      <c r="G899" t="s">
        <v>84</v>
      </c>
      <c r="H899">
        <v>3</v>
      </c>
      <c r="I899">
        <v>3000</v>
      </c>
      <c r="J899">
        <v>9000</v>
      </c>
      <c r="K899">
        <v>7380</v>
      </c>
      <c r="L899">
        <v>1620</v>
      </c>
    </row>
    <row r="900" spans="1:12" x14ac:dyDescent="0.3">
      <c r="A900" t="s">
        <v>2191</v>
      </c>
      <c r="B900" t="s">
        <v>535</v>
      </c>
      <c r="C900" t="s">
        <v>2192</v>
      </c>
      <c r="D900" t="s">
        <v>106</v>
      </c>
      <c r="E900" t="s">
        <v>107</v>
      </c>
      <c r="F900" t="s">
        <v>52</v>
      </c>
      <c r="G900" t="s">
        <v>26</v>
      </c>
      <c r="H900">
        <v>5</v>
      </c>
      <c r="I900">
        <v>6500</v>
      </c>
      <c r="J900">
        <v>32500</v>
      </c>
      <c r="K900">
        <v>26650</v>
      </c>
      <c r="L900">
        <v>5850</v>
      </c>
    </row>
    <row r="901" spans="1:12" x14ac:dyDescent="0.3">
      <c r="A901" t="s">
        <v>2193</v>
      </c>
      <c r="B901" t="s">
        <v>538</v>
      </c>
      <c r="C901" t="s">
        <v>2194</v>
      </c>
      <c r="D901" t="s">
        <v>50</v>
      </c>
      <c r="E901" t="s">
        <v>51</v>
      </c>
      <c r="F901" t="s">
        <v>52</v>
      </c>
      <c r="G901" t="s">
        <v>84</v>
      </c>
      <c r="H901">
        <v>8</v>
      </c>
      <c r="I901">
        <v>2200</v>
      </c>
      <c r="J901">
        <v>17600</v>
      </c>
      <c r="K901">
        <v>14432</v>
      </c>
      <c r="L901">
        <v>3168</v>
      </c>
    </row>
    <row r="902" spans="1:12" x14ac:dyDescent="0.3">
      <c r="A902" t="s">
        <v>2195</v>
      </c>
      <c r="B902" t="s">
        <v>541</v>
      </c>
      <c r="C902" t="s">
        <v>2196</v>
      </c>
      <c r="D902" t="s">
        <v>42</v>
      </c>
      <c r="E902" t="s">
        <v>13</v>
      </c>
      <c r="F902" t="s">
        <v>38</v>
      </c>
      <c r="G902" t="s">
        <v>15</v>
      </c>
      <c r="H902">
        <v>6</v>
      </c>
      <c r="I902">
        <v>15000</v>
      </c>
      <c r="J902">
        <v>90000</v>
      </c>
      <c r="K902">
        <v>73800</v>
      </c>
      <c r="L902">
        <v>16200</v>
      </c>
    </row>
    <row r="903" spans="1:12" x14ac:dyDescent="0.3">
      <c r="A903" t="s">
        <v>2197</v>
      </c>
      <c r="B903" t="s">
        <v>544</v>
      </c>
      <c r="C903" t="s">
        <v>2198</v>
      </c>
      <c r="D903" t="s">
        <v>50</v>
      </c>
      <c r="E903" t="s">
        <v>51</v>
      </c>
      <c r="F903" t="s">
        <v>52</v>
      </c>
      <c r="G903" t="s">
        <v>84</v>
      </c>
      <c r="H903">
        <v>3</v>
      </c>
      <c r="I903">
        <v>2200</v>
      </c>
      <c r="J903">
        <v>6600</v>
      </c>
      <c r="K903">
        <v>5412</v>
      </c>
      <c r="L903">
        <v>1188</v>
      </c>
    </row>
    <row r="904" spans="1:12" x14ac:dyDescent="0.3">
      <c r="A904" t="s">
        <v>2199</v>
      </c>
      <c r="B904" t="s">
        <v>547</v>
      </c>
      <c r="C904" t="s">
        <v>2200</v>
      </c>
      <c r="D904" t="s">
        <v>34</v>
      </c>
      <c r="E904" t="s">
        <v>24</v>
      </c>
      <c r="F904" t="s">
        <v>25</v>
      </c>
      <c r="G904" t="s">
        <v>19</v>
      </c>
      <c r="H904">
        <v>2</v>
      </c>
      <c r="I904">
        <v>3000</v>
      </c>
      <c r="J904">
        <v>6000</v>
      </c>
      <c r="K904">
        <v>4920</v>
      </c>
      <c r="L904">
        <v>1080</v>
      </c>
    </row>
    <row r="905" spans="1:12" x14ac:dyDescent="0.3">
      <c r="A905" t="s">
        <v>2201</v>
      </c>
      <c r="B905" t="s">
        <v>550</v>
      </c>
      <c r="C905" t="s">
        <v>2202</v>
      </c>
      <c r="D905" t="s">
        <v>42</v>
      </c>
      <c r="E905" t="s">
        <v>13</v>
      </c>
      <c r="F905" t="s">
        <v>25</v>
      </c>
      <c r="G905" t="s">
        <v>15</v>
      </c>
      <c r="H905">
        <v>7</v>
      </c>
      <c r="I905">
        <v>15000</v>
      </c>
      <c r="J905">
        <v>105000</v>
      </c>
      <c r="K905">
        <v>86100</v>
      </c>
      <c r="L905">
        <v>18900</v>
      </c>
    </row>
    <row r="906" spans="1:12" x14ac:dyDescent="0.3">
      <c r="A906" t="s">
        <v>2203</v>
      </c>
      <c r="B906" t="s">
        <v>553</v>
      </c>
      <c r="C906" t="s">
        <v>2204</v>
      </c>
      <c r="D906" t="s">
        <v>23</v>
      </c>
      <c r="E906" t="s">
        <v>24</v>
      </c>
      <c r="F906" t="s">
        <v>14</v>
      </c>
      <c r="G906" t="s">
        <v>19</v>
      </c>
      <c r="H906">
        <v>6</v>
      </c>
      <c r="I906">
        <v>800</v>
      </c>
      <c r="J906">
        <v>4800</v>
      </c>
      <c r="K906">
        <v>3935</v>
      </c>
      <c r="L906">
        <v>865</v>
      </c>
    </row>
    <row r="907" spans="1:12" x14ac:dyDescent="0.3">
      <c r="A907" t="s">
        <v>2205</v>
      </c>
      <c r="B907" t="s">
        <v>556</v>
      </c>
      <c r="C907" t="s">
        <v>2206</v>
      </c>
      <c r="D907" t="s">
        <v>12</v>
      </c>
      <c r="E907" t="s">
        <v>13</v>
      </c>
      <c r="F907" t="s">
        <v>14</v>
      </c>
      <c r="G907" t="s">
        <v>15</v>
      </c>
      <c r="H907">
        <v>6</v>
      </c>
      <c r="I907">
        <v>50000</v>
      </c>
      <c r="J907">
        <v>300000</v>
      </c>
      <c r="K907">
        <v>245999</v>
      </c>
      <c r="L907">
        <v>54001</v>
      </c>
    </row>
    <row r="908" spans="1:12" x14ac:dyDescent="0.3">
      <c r="A908" t="s">
        <v>2207</v>
      </c>
      <c r="B908" t="s">
        <v>559</v>
      </c>
      <c r="C908" t="s">
        <v>2208</v>
      </c>
      <c r="D908" t="s">
        <v>50</v>
      </c>
      <c r="E908" t="s">
        <v>51</v>
      </c>
      <c r="F908" t="s">
        <v>14</v>
      </c>
      <c r="G908" t="s">
        <v>43</v>
      </c>
      <c r="H908">
        <v>10</v>
      </c>
      <c r="I908">
        <v>2200</v>
      </c>
      <c r="J908">
        <v>22000</v>
      </c>
      <c r="K908">
        <v>18040</v>
      </c>
      <c r="L908">
        <v>3960</v>
      </c>
    </row>
    <row r="909" spans="1:12" x14ac:dyDescent="0.3">
      <c r="A909" t="s">
        <v>2209</v>
      </c>
      <c r="B909" t="s">
        <v>562</v>
      </c>
      <c r="C909" t="s">
        <v>2210</v>
      </c>
      <c r="D909" t="s">
        <v>23</v>
      </c>
      <c r="E909" t="s">
        <v>24</v>
      </c>
      <c r="F909" t="s">
        <v>38</v>
      </c>
      <c r="G909" t="s">
        <v>43</v>
      </c>
      <c r="H909">
        <v>8</v>
      </c>
      <c r="I909">
        <v>800</v>
      </c>
      <c r="J909">
        <v>6400</v>
      </c>
      <c r="K909">
        <v>5248</v>
      </c>
      <c r="L909">
        <v>1152</v>
      </c>
    </row>
    <row r="910" spans="1:12" x14ac:dyDescent="0.3">
      <c r="A910" t="s">
        <v>2211</v>
      </c>
      <c r="B910" t="s">
        <v>565</v>
      </c>
      <c r="C910" t="s">
        <v>2212</v>
      </c>
      <c r="D910" t="s">
        <v>12</v>
      </c>
      <c r="E910" t="s">
        <v>13</v>
      </c>
      <c r="F910" t="s">
        <v>52</v>
      </c>
      <c r="G910" t="s">
        <v>19</v>
      </c>
      <c r="H910">
        <v>6</v>
      </c>
      <c r="I910">
        <v>50000</v>
      </c>
      <c r="J910">
        <v>300000</v>
      </c>
      <c r="K910">
        <v>245999</v>
      </c>
      <c r="L910">
        <v>54001</v>
      </c>
    </row>
    <row r="911" spans="1:12" x14ac:dyDescent="0.3">
      <c r="A911" t="s">
        <v>2213</v>
      </c>
      <c r="B911" t="s">
        <v>568</v>
      </c>
      <c r="C911" t="s">
        <v>2214</v>
      </c>
      <c r="D911" t="s">
        <v>12</v>
      </c>
      <c r="E911" t="s">
        <v>13</v>
      </c>
      <c r="F911" t="s">
        <v>14</v>
      </c>
      <c r="G911" t="s">
        <v>19</v>
      </c>
      <c r="H911">
        <v>5</v>
      </c>
      <c r="I911">
        <v>50000</v>
      </c>
      <c r="J911">
        <v>250000</v>
      </c>
      <c r="K911">
        <v>205000</v>
      </c>
      <c r="L911">
        <v>45000</v>
      </c>
    </row>
    <row r="912" spans="1:12" x14ac:dyDescent="0.3">
      <c r="A912" t="s">
        <v>2215</v>
      </c>
      <c r="B912" t="s">
        <v>571</v>
      </c>
      <c r="C912" t="s">
        <v>2216</v>
      </c>
      <c r="D912" t="s">
        <v>42</v>
      </c>
      <c r="E912" t="s">
        <v>13</v>
      </c>
      <c r="F912" t="s">
        <v>25</v>
      </c>
      <c r="G912" t="s">
        <v>19</v>
      </c>
      <c r="H912">
        <v>6</v>
      </c>
      <c r="I912">
        <v>15000</v>
      </c>
      <c r="J912">
        <v>90000</v>
      </c>
      <c r="K912">
        <v>73800</v>
      </c>
      <c r="L912">
        <v>16200</v>
      </c>
    </row>
    <row r="913" spans="1:12" x14ac:dyDescent="0.3">
      <c r="A913" t="s">
        <v>2217</v>
      </c>
      <c r="B913" t="s">
        <v>574</v>
      </c>
      <c r="C913" t="s">
        <v>2218</v>
      </c>
      <c r="D913" t="s">
        <v>34</v>
      </c>
      <c r="E913" t="s">
        <v>24</v>
      </c>
      <c r="F913" t="s">
        <v>25</v>
      </c>
      <c r="G913" t="s">
        <v>43</v>
      </c>
      <c r="H913">
        <v>2</v>
      </c>
      <c r="I913">
        <v>3000</v>
      </c>
      <c r="J913">
        <v>6000</v>
      </c>
      <c r="K913">
        <v>4920</v>
      </c>
      <c r="L913">
        <v>1080</v>
      </c>
    </row>
    <row r="914" spans="1:12" x14ac:dyDescent="0.3">
      <c r="A914" t="s">
        <v>2219</v>
      </c>
      <c r="B914" t="s">
        <v>577</v>
      </c>
      <c r="C914" t="s">
        <v>2220</v>
      </c>
      <c r="D914" t="s">
        <v>42</v>
      </c>
      <c r="E914" t="s">
        <v>13</v>
      </c>
      <c r="F914" t="s">
        <v>14</v>
      </c>
      <c r="G914" t="s">
        <v>26</v>
      </c>
      <c r="H914">
        <v>8</v>
      </c>
      <c r="I914">
        <v>15000</v>
      </c>
      <c r="J914">
        <v>120000</v>
      </c>
      <c r="K914">
        <v>98400</v>
      </c>
      <c r="L914">
        <v>21600</v>
      </c>
    </row>
    <row r="915" spans="1:12" x14ac:dyDescent="0.3">
      <c r="A915" t="s">
        <v>2221</v>
      </c>
      <c r="B915" t="s">
        <v>580</v>
      </c>
      <c r="C915" t="s">
        <v>2222</v>
      </c>
      <c r="D915" t="s">
        <v>23</v>
      </c>
      <c r="E915" t="s">
        <v>24</v>
      </c>
      <c r="F915" t="s">
        <v>25</v>
      </c>
      <c r="G915" t="s">
        <v>84</v>
      </c>
      <c r="H915">
        <v>6</v>
      </c>
      <c r="I915">
        <v>800</v>
      </c>
      <c r="J915">
        <v>4800</v>
      </c>
      <c r="K915">
        <v>3935</v>
      </c>
      <c r="L915">
        <v>865</v>
      </c>
    </row>
    <row r="916" spans="1:12" x14ac:dyDescent="0.3">
      <c r="A916" t="s">
        <v>2223</v>
      </c>
      <c r="B916" t="s">
        <v>583</v>
      </c>
      <c r="C916" t="s">
        <v>2224</v>
      </c>
      <c r="D916" t="s">
        <v>50</v>
      </c>
      <c r="E916" t="s">
        <v>51</v>
      </c>
      <c r="F916" t="s">
        <v>25</v>
      </c>
      <c r="G916" t="s">
        <v>43</v>
      </c>
      <c r="H916">
        <v>6</v>
      </c>
      <c r="I916">
        <v>2200</v>
      </c>
      <c r="J916">
        <v>13200</v>
      </c>
      <c r="K916">
        <v>10824</v>
      </c>
      <c r="L916">
        <v>2376</v>
      </c>
    </row>
    <row r="917" spans="1:12" x14ac:dyDescent="0.3">
      <c r="A917" t="s">
        <v>2225</v>
      </c>
      <c r="B917" t="s">
        <v>586</v>
      </c>
      <c r="C917" t="s">
        <v>2226</v>
      </c>
      <c r="D917" t="s">
        <v>106</v>
      </c>
      <c r="E917" t="s">
        <v>107</v>
      </c>
      <c r="F917" t="s">
        <v>14</v>
      </c>
      <c r="G917" t="s">
        <v>84</v>
      </c>
      <c r="H917">
        <v>2</v>
      </c>
      <c r="I917">
        <v>6500</v>
      </c>
      <c r="J917">
        <v>13000</v>
      </c>
      <c r="K917">
        <v>10660</v>
      </c>
      <c r="L917">
        <v>2340</v>
      </c>
    </row>
    <row r="918" spans="1:12" x14ac:dyDescent="0.3">
      <c r="A918" t="s">
        <v>2227</v>
      </c>
      <c r="B918" t="s">
        <v>589</v>
      </c>
      <c r="C918" t="s">
        <v>2228</v>
      </c>
      <c r="D918" t="s">
        <v>50</v>
      </c>
      <c r="E918" t="s">
        <v>51</v>
      </c>
      <c r="F918" t="s">
        <v>52</v>
      </c>
      <c r="G918" t="s">
        <v>84</v>
      </c>
      <c r="H918">
        <v>6</v>
      </c>
      <c r="I918">
        <v>2200</v>
      </c>
      <c r="J918">
        <v>13200</v>
      </c>
      <c r="K918">
        <v>10824</v>
      </c>
      <c r="L918">
        <v>2376</v>
      </c>
    </row>
    <row r="919" spans="1:12" x14ac:dyDescent="0.3">
      <c r="A919" t="s">
        <v>2229</v>
      </c>
      <c r="B919" t="s">
        <v>592</v>
      </c>
      <c r="C919" t="s">
        <v>2230</v>
      </c>
      <c r="D919" t="s">
        <v>12</v>
      </c>
      <c r="E919" t="s">
        <v>13</v>
      </c>
      <c r="F919" t="s">
        <v>14</v>
      </c>
      <c r="G919" t="s">
        <v>84</v>
      </c>
      <c r="H919">
        <v>6</v>
      </c>
      <c r="I919">
        <v>50000</v>
      </c>
      <c r="J919">
        <v>300000</v>
      </c>
      <c r="K919">
        <v>245999</v>
      </c>
      <c r="L919">
        <v>54001</v>
      </c>
    </row>
    <row r="920" spans="1:12" x14ac:dyDescent="0.3">
      <c r="A920" t="s">
        <v>2231</v>
      </c>
      <c r="B920" t="s">
        <v>595</v>
      </c>
      <c r="C920" t="s">
        <v>2232</v>
      </c>
      <c r="D920" t="s">
        <v>30</v>
      </c>
      <c r="E920" t="s">
        <v>13</v>
      </c>
      <c r="F920" t="s">
        <v>38</v>
      </c>
      <c r="G920" t="s">
        <v>26</v>
      </c>
      <c r="H920">
        <v>7</v>
      </c>
      <c r="I920">
        <v>12000</v>
      </c>
      <c r="J920">
        <v>84000</v>
      </c>
      <c r="K920">
        <v>68880</v>
      </c>
      <c r="L920">
        <v>15120</v>
      </c>
    </row>
    <row r="921" spans="1:12" x14ac:dyDescent="0.3">
      <c r="A921" t="s">
        <v>2233</v>
      </c>
      <c r="B921" t="s">
        <v>598</v>
      </c>
      <c r="C921" t="s">
        <v>2234</v>
      </c>
      <c r="D921" t="s">
        <v>50</v>
      </c>
      <c r="E921" t="s">
        <v>51</v>
      </c>
      <c r="F921" t="s">
        <v>25</v>
      </c>
      <c r="G921" t="s">
        <v>43</v>
      </c>
      <c r="H921">
        <v>4</v>
      </c>
      <c r="I921">
        <v>2200</v>
      </c>
      <c r="J921">
        <v>8800</v>
      </c>
      <c r="K921">
        <v>7216</v>
      </c>
      <c r="L921">
        <v>1584</v>
      </c>
    </row>
    <row r="922" spans="1:12" x14ac:dyDescent="0.3">
      <c r="A922" t="s">
        <v>2235</v>
      </c>
      <c r="B922" t="s">
        <v>601</v>
      </c>
      <c r="C922" t="s">
        <v>2236</v>
      </c>
      <c r="D922" t="s">
        <v>34</v>
      </c>
      <c r="E922" t="s">
        <v>24</v>
      </c>
      <c r="F922" t="s">
        <v>38</v>
      </c>
      <c r="G922" t="s">
        <v>19</v>
      </c>
      <c r="H922">
        <v>3</v>
      </c>
      <c r="I922">
        <v>3000</v>
      </c>
      <c r="J922">
        <v>9000</v>
      </c>
      <c r="K922">
        <v>7380</v>
      </c>
      <c r="L922">
        <v>1620</v>
      </c>
    </row>
    <row r="923" spans="1:12" x14ac:dyDescent="0.3">
      <c r="A923" t="s">
        <v>2237</v>
      </c>
      <c r="B923" t="s">
        <v>604</v>
      </c>
      <c r="C923" t="s">
        <v>2238</v>
      </c>
      <c r="D923" t="s">
        <v>23</v>
      </c>
      <c r="E923" t="s">
        <v>24</v>
      </c>
      <c r="F923" t="s">
        <v>25</v>
      </c>
      <c r="G923" t="s">
        <v>84</v>
      </c>
      <c r="H923">
        <v>10</v>
      </c>
      <c r="I923">
        <v>800</v>
      </c>
      <c r="J923">
        <v>8000</v>
      </c>
      <c r="K923">
        <v>6560</v>
      </c>
      <c r="L923">
        <v>1440</v>
      </c>
    </row>
    <row r="924" spans="1:12" x14ac:dyDescent="0.3">
      <c r="A924" t="s">
        <v>2239</v>
      </c>
      <c r="B924" t="s">
        <v>607</v>
      </c>
      <c r="C924" t="s">
        <v>2240</v>
      </c>
      <c r="D924" t="s">
        <v>23</v>
      </c>
      <c r="E924" t="s">
        <v>24</v>
      </c>
      <c r="F924" t="s">
        <v>25</v>
      </c>
      <c r="G924" t="s">
        <v>26</v>
      </c>
      <c r="H924">
        <v>10</v>
      </c>
      <c r="I924">
        <v>800</v>
      </c>
      <c r="J924">
        <v>8000</v>
      </c>
      <c r="K924">
        <v>6560</v>
      </c>
      <c r="L924">
        <v>1440</v>
      </c>
    </row>
    <row r="925" spans="1:12" x14ac:dyDescent="0.3">
      <c r="A925" t="s">
        <v>2241</v>
      </c>
      <c r="B925" t="s">
        <v>610</v>
      </c>
      <c r="C925" t="s">
        <v>2242</v>
      </c>
      <c r="D925" t="s">
        <v>50</v>
      </c>
      <c r="E925" t="s">
        <v>51</v>
      </c>
      <c r="F925" t="s">
        <v>14</v>
      </c>
      <c r="G925" t="s">
        <v>15</v>
      </c>
      <c r="H925">
        <v>6</v>
      </c>
      <c r="I925">
        <v>2200</v>
      </c>
      <c r="J925">
        <v>13200</v>
      </c>
      <c r="K925">
        <v>10824</v>
      </c>
      <c r="L925">
        <v>2376</v>
      </c>
    </row>
    <row r="926" spans="1:12" x14ac:dyDescent="0.3">
      <c r="A926" t="s">
        <v>2243</v>
      </c>
      <c r="B926" t="s">
        <v>613</v>
      </c>
      <c r="C926" t="s">
        <v>2244</v>
      </c>
      <c r="D926" t="s">
        <v>42</v>
      </c>
      <c r="E926" t="s">
        <v>13</v>
      </c>
      <c r="F926" t="s">
        <v>52</v>
      </c>
      <c r="G926" t="s">
        <v>19</v>
      </c>
      <c r="H926">
        <v>3</v>
      </c>
      <c r="I926">
        <v>15000</v>
      </c>
      <c r="J926">
        <v>45000</v>
      </c>
      <c r="K926">
        <v>36900</v>
      </c>
      <c r="L926">
        <v>8100</v>
      </c>
    </row>
    <row r="927" spans="1:12" x14ac:dyDescent="0.3">
      <c r="A927" t="s">
        <v>2245</v>
      </c>
      <c r="B927" t="s">
        <v>616</v>
      </c>
      <c r="C927" t="s">
        <v>2246</v>
      </c>
      <c r="D927" t="s">
        <v>59</v>
      </c>
      <c r="E927" t="s">
        <v>24</v>
      </c>
      <c r="F927" t="s">
        <v>14</v>
      </c>
      <c r="G927" t="s">
        <v>43</v>
      </c>
      <c r="H927">
        <v>6</v>
      </c>
      <c r="I927">
        <v>1500</v>
      </c>
      <c r="J927">
        <v>9000</v>
      </c>
      <c r="K927">
        <v>7380</v>
      </c>
      <c r="L927">
        <v>1620</v>
      </c>
    </row>
    <row r="928" spans="1:12" x14ac:dyDescent="0.3">
      <c r="A928" t="s">
        <v>2247</v>
      </c>
      <c r="B928" t="s">
        <v>619</v>
      </c>
      <c r="C928" t="s">
        <v>2248</v>
      </c>
      <c r="D928" t="s">
        <v>34</v>
      </c>
      <c r="E928" t="s">
        <v>24</v>
      </c>
      <c r="F928" t="s">
        <v>52</v>
      </c>
      <c r="G928" t="s">
        <v>15</v>
      </c>
      <c r="H928">
        <v>2</v>
      </c>
      <c r="I928">
        <v>3000</v>
      </c>
      <c r="J928">
        <v>6000</v>
      </c>
      <c r="K928">
        <v>4920</v>
      </c>
      <c r="L928">
        <v>1080</v>
      </c>
    </row>
    <row r="929" spans="1:12" x14ac:dyDescent="0.3">
      <c r="A929" t="s">
        <v>2249</v>
      </c>
      <c r="B929" t="s">
        <v>622</v>
      </c>
      <c r="C929" t="s">
        <v>2250</v>
      </c>
      <c r="D929" t="s">
        <v>50</v>
      </c>
      <c r="E929" t="s">
        <v>51</v>
      </c>
      <c r="F929" t="s">
        <v>25</v>
      </c>
      <c r="G929" t="s">
        <v>43</v>
      </c>
      <c r="H929">
        <v>9</v>
      </c>
      <c r="I929">
        <v>2200</v>
      </c>
      <c r="J929">
        <v>19800</v>
      </c>
      <c r="K929">
        <v>16235</v>
      </c>
      <c r="L929">
        <v>3565</v>
      </c>
    </row>
    <row r="930" spans="1:12" x14ac:dyDescent="0.3">
      <c r="A930" t="s">
        <v>2251</v>
      </c>
      <c r="B930" t="s">
        <v>625</v>
      </c>
      <c r="C930" t="s">
        <v>2252</v>
      </c>
      <c r="D930" t="s">
        <v>30</v>
      </c>
      <c r="E930" t="s">
        <v>13</v>
      </c>
      <c r="F930" t="s">
        <v>52</v>
      </c>
      <c r="G930" t="s">
        <v>84</v>
      </c>
      <c r="H930">
        <v>2</v>
      </c>
      <c r="I930">
        <v>12000</v>
      </c>
      <c r="J930">
        <v>24000</v>
      </c>
      <c r="K930">
        <v>19680</v>
      </c>
      <c r="L930">
        <v>4320</v>
      </c>
    </row>
    <row r="931" spans="1:12" x14ac:dyDescent="0.3">
      <c r="A931" t="s">
        <v>2253</v>
      </c>
      <c r="B931" t="s">
        <v>628</v>
      </c>
      <c r="C931" t="s">
        <v>2254</v>
      </c>
      <c r="D931" t="s">
        <v>42</v>
      </c>
      <c r="E931" t="s">
        <v>13</v>
      </c>
      <c r="F931" t="s">
        <v>52</v>
      </c>
      <c r="G931" t="s">
        <v>15</v>
      </c>
      <c r="H931">
        <v>6</v>
      </c>
      <c r="I931">
        <v>15000</v>
      </c>
      <c r="J931">
        <v>90000</v>
      </c>
      <c r="K931">
        <v>73800</v>
      </c>
      <c r="L931">
        <v>16200</v>
      </c>
    </row>
    <row r="932" spans="1:12" x14ac:dyDescent="0.3">
      <c r="A932" t="s">
        <v>2255</v>
      </c>
      <c r="B932" t="s">
        <v>631</v>
      </c>
      <c r="C932" t="s">
        <v>2256</v>
      </c>
      <c r="D932" t="s">
        <v>59</v>
      </c>
      <c r="E932" t="s">
        <v>24</v>
      </c>
      <c r="F932" t="s">
        <v>25</v>
      </c>
      <c r="G932" t="s">
        <v>26</v>
      </c>
      <c r="H932">
        <v>3</v>
      </c>
      <c r="I932">
        <v>1500</v>
      </c>
      <c r="J932">
        <v>4500</v>
      </c>
      <c r="K932">
        <v>3690</v>
      </c>
      <c r="L932">
        <v>810</v>
      </c>
    </row>
    <row r="933" spans="1:12" x14ac:dyDescent="0.3">
      <c r="A933" t="s">
        <v>2257</v>
      </c>
      <c r="B933" t="s">
        <v>634</v>
      </c>
      <c r="C933" t="s">
        <v>2258</v>
      </c>
      <c r="D933" t="s">
        <v>42</v>
      </c>
      <c r="E933" t="s">
        <v>13</v>
      </c>
      <c r="F933" t="s">
        <v>25</v>
      </c>
      <c r="G933" t="s">
        <v>15</v>
      </c>
      <c r="H933">
        <v>9</v>
      </c>
      <c r="I933">
        <v>15000</v>
      </c>
      <c r="J933">
        <v>135000</v>
      </c>
      <c r="K933">
        <v>110700</v>
      </c>
      <c r="L933">
        <v>24300</v>
      </c>
    </row>
    <row r="934" spans="1:12" x14ac:dyDescent="0.3">
      <c r="A934" t="s">
        <v>2259</v>
      </c>
      <c r="B934" t="s">
        <v>637</v>
      </c>
      <c r="C934" t="s">
        <v>2260</v>
      </c>
      <c r="D934" t="s">
        <v>50</v>
      </c>
      <c r="E934" t="s">
        <v>51</v>
      </c>
      <c r="F934" t="s">
        <v>25</v>
      </c>
      <c r="G934" t="s">
        <v>26</v>
      </c>
      <c r="H934">
        <v>7</v>
      </c>
      <c r="I934">
        <v>2200</v>
      </c>
      <c r="J934">
        <v>15400</v>
      </c>
      <c r="K934">
        <v>12628</v>
      </c>
      <c r="L934">
        <v>2772</v>
      </c>
    </row>
    <row r="935" spans="1:12" x14ac:dyDescent="0.3">
      <c r="A935" t="s">
        <v>2261</v>
      </c>
      <c r="B935" t="s">
        <v>640</v>
      </c>
      <c r="C935" t="s">
        <v>2262</v>
      </c>
      <c r="D935" t="s">
        <v>42</v>
      </c>
      <c r="E935" t="s">
        <v>13</v>
      </c>
      <c r="F935" t="s">
        <v>52</v>
      </c>
      <c r="G935" t="s">
        <v>19</v>
      </c>
      <c r="H935">
        <v>9</v>
      </c>
      <c r="I935">
        <v>15000</v>
      </c>
      <c r="J935">
        <v>135000</v>
      </c>
      <c r="K935">
        <v>110700</v>
      </c>
      <c r="L935">
        <v>24300</v>
      </c>
    </row>
    <row r="936" spans="1:12" x14ac:dyDescent="0.3">
      <c r="A936" t="s">
        <v>2263</v>
      </c>
      <c r="B936" t="s">
        <v>643</v>
      </c>
      <c r="C936" t="s">
        <v>2264</v>
      </c>
      <c r="D936" t="s">
        <v>42</v>
      </c>
      <c r="E936" t="s">
        <v>13</v>
      </c>
      <c r="F936" t="s">
        <v>14</v>
      </c>
      <c r="G936" t="s">
        <v>26</v>
      </c>
      <c r="H936">
        <v>9</v>
      </c>
      <c r="I936">
        <v>15000</v>
      </c>
      <c r="J936">
        <v>135000</v>
      </c>
      <c r="K936">
        <v>110700</v>
      </c>
      <c r="L936">
        <v>24300</v>
      </c>
    </row>
    <row r="937" spans="1:12" x14ac:dyDescent="0.3">
      <c r="A937" t="s">
        <v>2265</v>
      </c>
      <c r="B937" t="s">
        <v>646</v>
      </c>
      <c r="C937" t="s">
        <v>2266</v>
      </c>
      <c r="D937" t="s">
        <v>34</v>
      </c>
      <c r="E937" t="s">
        <v>24</v>
      </c>
      <c r="F937" t="s">
        <v>38</v>
      </c>
      <c r="G937" t="s">
        <v>43</v>
      </c>
      <c r="H937">
        <v>3</v>
      </c>
      <c r="I937">
        <v>3000</v>
      </c>
      <c r="J937">
        <v>9000</v>
      </c>
      <c r="K937">
        <v>7380</v>
      </c>
      <c r="L937">
        <v>1620</v>
      </c>
    </row>
    <row r="938" spans="1:12" x14ac:dyDescent="0.3">
      <c r="A938" t="s">
        <v>2267</v>
      </c>
      <c r="B938" t="s">
        <v>649</v>
      </c>
      <c r="C938" t="s">
        <v>2268</v>
      </c>
      <c r="D938" t="s">
        <v>59</v>
      </c>
      <c r="E938" t="s">
        <v>24</v>
      </c>
      <c r="F938" t="s">
        <v>25</v>
      </c>
      <c r="G938" t="s">
        <v>43</v>
      </c>
      <c r="H938">
        <v>10</v>
      </c>
      <c r="I938">
        <v>1500</v>
      </c>
      <c r="J938">
        <v>15000</v>
      </c>
      <c r="K938">
        <v>12300</v>
      </c>
      <c r="L938">
        <v>2700</v>
      </c>
    </row>
    <row r="939" spans="1:12" x14ac:dyDescent="0.3">
      <c r="A939" t="s">
        <v>2269</v>
      </c>
      <c r="B939" t="s">
        <v>652</v>
      </c>
      <c r="C939" t="s">
        <v>2270</v>
      </c>
      <c r="D939" t="s">
        <v>42</v>
      </c>
      <c r="E939" t="s">
        <v>13</v>
      </c>
      <c r="F939" t="s">
        <v>25</v>
      </c>
      <c r="G939" t="s">
        <v>19</v>
      </c>
      <c r="H939">
        <v>3</v>
      </c>
      <c r="I939">
        <v>15000</v>
      </c>
      <c r="J939">
        <v>45000</v>
      </c>
      <c r="K939">
        <v>36900</v>
      </c>
      <c r="L939">
        <v>8100</v>
      </c>
    </row>
    <row r="940" spans="1:12" x14ac:dyDescent="0.3">
      <c r="A940" t="s">
        <v>2271</v>
      </c>
      <c r="B940" t="s">
        <v>655</v>
      </c>
      <c r="C940" t="s">
        <v>2272</v>
      </c>
      <c r="D940" t="s">
        <v>42</v>
      </c>
      <c r="E940" t="s">
        <v>13</v>
      </c>
      <c r="F940" t="s">
        <v>38</v>
      </c>
      <c r="G940" t="s">
        <v>19</v>
      </c>
      <c r="H940">
        <v>7</v>
      </c>
      <c r="I940">
        <v>15000</v>
      </c>
      <c r="J940">
        <v>105000</v>
      </c>
      <c r="K940">
        <v>86100</v>
      </c>
      <c r="L940">
        <v>18900</v>
      </c>
    </row>
    <row r="941" spans="1:12" x14ac:dyDescent="0.3">
      <c r="A941" t="s">
        <v>2273</v>
      </c>
      <c r="B941" t="s">
        <v>658</v>
      </c>
      <c r="C941" t="s">
        <v>2274</v>
      </c>
      <c r="D941" t="s">
        <v>59</v>
      </c>
      <c r="E941" t="s">
        <v>24</v>
      </c>
      <c r="F941" t="s">
        <v>25</v>
      </c>
      <c r="G941" t="s">
        <v>15</v>
      </c>
      <c r="H941">
        <v>5</v>
      </c>
      <c r="I941">
        <v>1500</v>
      </c>
      <c r="J941">
        <v>7500</v>
      </c>
      <c r="K941">
        <v>6150</v>
      </c>
      <c r="L941">
        <v>1350</v>
      </c>
    </row>
    <row r="942" spans="1:12" x14ac:dyDescent="0.3">
      <c r="A942" t="s">
        <v>2275</v>
      </c>
      <c r="B942" t="s">
        <v>661</v>
      </c>
      <c r="C942" t="s">
        <v>2276</v>
      </c>
      <c r="D942" t="s">
        <v>59</v>
      </c>
      <c r="E942" t="s">
        <v>24</v>
      </c>
      <c r="F942" t="s">
        <v>52</v>
      </c>
      <c r="G942" t="s">
        <v>43</v>
      </c>
      <c r="H942">
        <v>9</v>
      </c>
      <c r="I942">
        <v>1500</v>
      </c>
      <c r="J942">
        <v>13500</v>
      </c>
      <c r="K942">
        <v>11070</v>
      </c>
      <c r="L942">
        <v>2430</v>
      </c>
    </row>
    <row r="943" spans="1:12" x14ac:dyDescent="0.3">
      <c r="A943" t="s">
        <v>2277</v>
      </c>
      <c r="B943" t="s">
        <v>664</v>
      </c>
      <c r="C943" t="s">
        <v>2278</v>
      </c>
      <c r="D943" t="s">
        <v>59</v>
      </c>
      <c r="E943" t="s">
        <v>24</v>
      </c>
      <c r="F943" t="s">
        <v>25</v>
      </c>
      <c r="G943" t="s">
        <v>26</v>
      </c>
      <c r="H943">
        <v>4</v>
      </c>
      <c r="I943">
        <v>1500</v>
      </c>
      <c r="J943">
        <v>6000</v>
      </c>
      <c r="K943">
        <v>4920</v>
      </c>
      <c r="L943">
        <v>1080</v>
      </c>
    </row>
    <row r="944" spans="1:12" x14ac:dyDescent="0.3">
      <c r="A944" t="s">
        <v>2279</v>
      </c>
      <c r="B944" t="s">
        <v>667</v>
      </c>
      <c r="C944" t="s">
        <v>2280</v>
      </c>
      <c r="D944" t="s">
        <v>42</v>
      </c>
      <c r="E944" t="s">
        <v>13</v>
      </c>
      <c r="F944" t="s">
        <v>52</v>
      </c>
      <c r="G944" t="s">
        <v>19</v>
      </c>
      <c r="H944">
        <v>9</v>
      </c>
      <c r="I944">
        <v>15000</v>
      </c>
      <c r="J944">
        <v>135000</v>
      </c>
      <c r="K944">
        <v>110700</v>
      </c>
      <c r="L944">
        <v>24300</v>
      </c>
    </row>
    <row r="945" spans="1:12" x14ac:dyDescent="0.3">
      <c r="A945" t="s">
        <v>2281</v>
      </c>
      <c r="B945" t="s">
        <v>670</v>
      </c>
      <c r="C945" t="s">
        <v>2282</v>
      </c>
      <c r="D945" t="s">
        <v>23</v>
      </c>
      <c r="E945" t="s">
        <v>24</v>
      </c>
      <c r="F945" t="s">
        <v>52</v>
      </c>
      <c r="G945" t="s">
        <v>19</v>
      </c>
      <c r="H945">
        <v>2</v>
      </c>
      <c r="I945">
        <v>800</v>
      </c>
      <c r="J945">
        <v>1600</v>
      </c>
      <c r="K945">
        <v>1312</v>
      </c>
      <c r="L945">
        <v>288</v>
      </c>
    </row>
    <row r="946" spans="1:12" x14ac:dyDescent="0.3">
      <c r="A946" t="s">
        <v>2283</v>
      </c>
      <c r="B946" t="s">
        <v>673</v>
      </c>
      <c r="C946" t="s">
        <v>2284</v>
      </c>
      <c r="D946" t="s">
        <v>30</v>
      </c>
      <c r="E946" t="s">
        <v>13</v>
      </c>
      <c r="F946" t="s">
        <v>25</v>
      </c>
      <c r="G946" t="s">
        <v>26</v>
      </c>
      <c r="H946">
        <v>6</v>
      </c>
      <c r="I946">
        <v>12000</v>
      </c>
      <c r="J946">
        <v>72000</v>
      </c>
      <c r="K946">
        <v>59040</v>
      </c>
      <c r="L946">
        <v>12960</v>
      </c>
    </row>
    <row r="947" spans="1:12" x14ac:dyDescent="0.3">
      <c r="A947" t="s">
        <v>2285</v>
      </c>
      <c r="B947" t="s">
        <v>676</v>
      </c>
      <c r="C947" t="s">
        <v>2286</v>
      </c>
      <c r="D947" t="s">
        <v>59</v>
      </c>
      <c r="E947" t="s">
        <v>24</v>
      </c>
      <c r="F947" t="s">
        <v>14</v>
      </c>
      <c r="G947" t="s">
        <v>19</v>
      </c>
      <c r="H947">
        <v>8</v>
      </c>
      <c r="I947">
        <v>1500</v>
      </c>
      <c r="J947">
        <v>12000</v>
      </c>
      <c r="K947">
        <v>9840</v>
      </c>
      <c r="L947">
        <v>2160</v>
      </c>
    </row>
    <row r="948" spans="1:12" x14ac:dyDescent="0.3">
      <c r="A948" t="s">
        <v>2287</v>
      </c>
      <c r="B948" t="s">
        <v>679</v>
      </c>
      <c r="C948" t="s">
        <v>2288</v>
      </c>
      <c r="D948" t="s">
        <v>23</v>
      </c>
      <c r="E948" t="s">
        <v>24</v>
      </c>
      <c r="F948" t="s">
        <v>25</v>
      </c>
      <c r="G948" t="s">
        <v>19</v>
      </c>
      <c r="H948">
        <v>8</v>
      </c>
      <c r="I948">
        <v>800</v>
      </c>
      <c r="J948">
        <v>6400</v>
      </c>
      <c r="K948">
        <v>5248</v>
      </c>
      <c r="L948">
        <v>1152</v>
      </c>
    </row>
    <row r="949" spans="1:12" x14ac:dyDescent="0.3">
      <c r="A949" t="s">
        <v>2289</v>
      </c>
      <c r="B949" t="s">
        <v>682</v>
      </c>
      <c r="C949" t="s">
        <v>2290</v>
      </c>
      <c r="D949" t="s">
        <v>12</v>
      </c>
      <c r="E949" t="s">
        <v>13</v>
      </c>
      <c r="F949" t="s">
        <v>52</v>
      </c>
      <c r="G949" t="s">
        <v>26</v>
      </c>
      <c r="H949">
        <v>1</v>
      </c>
      <c r="I949">
        <v>50000</v>
      </c>
      <c r="J949">
        <v>50000</v>
      </c>
      <c r="K949">
        <v>41000</v>
      </c>
      <c r="L949">
        <v>9000</v>
      </c>
    </row>
    <row r="950" spans="1:12" x14ac:dyDescent="0.3">
      <c r="A950" t="s">
        <v>2291</v>
      </c>
      <c r="B950" t="s">
        <v>685</v>
      </c>
      <c r="C950" t="s">
        <v>2292</v>
      </c>
      <c r="D950" t="s">
        <v>30</v>
      </c>
      <c r="E950" t="s">
        <v>13</v>
      </c>
      <c r="F950" t="s">
        <v>52</v>
      </c>
      <c r="G950" t="s">
        <v>84</v>
      </c>
      <c r="H950">
        <v>2</v>
      </c>
      <c r="I950">
        <v>12000</v>
      </c>
      <c r="J950">
        <v>24000</v>
      </c>
      <c r="K950">
        <v>19680</v>
      </c>
      <c r="L950">
        <v>4320</v>
      </c>
    </row>
    <row r="951" spans="1:12" x14ac:dyDescent="0.3">
      <c r="A951" t="s">
        <v>2293</v>
      </c>
      <c r="B951" t="s">
        <v>688</v>
      </c>
      <c r="C951" t="s">
        <v>2294</v>
      </c>
      <c r="D951" t="s">
        <v>34</v>
      </c>
      <c r="E951" t="s">
        <v>24</v>
      </c>
      <c r="F951" t="s">
        <v>52</v>
      </c>
      <c r="G951" t="s">
        <v>26</v>
      </c>
      <c r="H951">
        <v>7</v>
      </c>
      <c r="I951">
        <v>3000</v>
      </c>
      <c r="J951">
        <v>21000</v>
      </c>
      <c r="K951">
        <v>17220</v>
      </c>
      <c r="L951">
        <v>3780</v>
      </c>
    </row>
    <row r="952" spans="1:12" x14ac:dyDescent="0.3">
      <c r="A952" t="s">
        <v>2295</v>
      </c>
      <c r="B952" t="s">
        <v>691</v>
      </c>
      <c r="C952" t="s">
        <v>2296</v>
      </c>
      <c r="D952" t="s">
        <v>59</v>
      </c>
      <c r="E952" t="s">
        <v>24</v>
      </c>
      <c r="F952" t="s">
        <v>38</v>
      </c>
      <c r="G952" t="s">
        <v>43</v>
      </c>
      <c r="H952">
        <v>8</v>
      </c>
      <c r="I952">
        <v>1500</v>
      </c>
      <c r="J952">
        <v>12000</v>
      </c>
      <c r="K952">
        <v>9840</v>
      </c>
      <c r="L952">
        <v>2160</v>
      </c>
    </row>
    <row r="953" spans="1:12" x14ac:dyDescent="0.3">
      <c r="A953" t="s">
        <v>2297</v>
      </c>
      <c r="B953" t="s">
        <v>694</v>
      </c>
      <c r="C953" t="s">
        <v>2298</v>
      </c>
      <c r="D953" t="s">
        <v>34</v>
      </c>
      <c r="E953" t="s">
        <v>24</v>
      </c>
      <c r="F953" t="s">
        <v>38</v>
      </c>
      <c r="G953" t="s">
        <v>15</v>
      </c>
      <c r="H953">
        <v>4</v>
      </c>
      <c r="I953">
        <v>3000</v>
      </c>
      <c r="J953">
        <v>12000</v>
      </c>
      <c r="K953">
        <v>9840</v>
      </c>
      <c r="L953">
        <v>2160</v>
      </c>
    </row>
    <row r="954" spans="1:12" x14ac:dyDescent="0.3">
      <c r="A954" t="s">
        <v>2299</v>
      </c>
      <c r="B954" t="s">
        <v>697</v>
      </c>
      <c r="C954" t="s">
        <v>2300</v>
      </c>
      <c r="D954" t="s">
        <v>12</v>
      </c>
      <c r="E954" t="s">
        <v>13</v>
      </c>
      <c r="F954" t="s">
        <v>52</v>
      </c>
      <c r="G954" t="s">
        <v>15</v>
      </c>
      <c r="H954">
        <v>1</v>
      </c>
      <c r="I954">
        <v>50000</v>
      </c>
      <c r="J954">
        <v>50000</v>
      </c>
      <c r="K954">
        <v>41000</v>
      </c>
      <c r="L954">
        <v>9000</v>
      </c>
    </row>
    <row r="955" spans="1:12" x14ac:dyDescent="0.3">
      <c r="A955" t="s">
        <v>2301</v>
      </c>
      <c r="B955" t="s">
        <v>700</v>
      </c>
      <c r="C955" t="s">
        <v>2302</v>
      </c>
      <c r="D955" t="s">
        <v>30</v>
      </c>
      <c r="E955" t="s">
        <v>13</v>
      </c>
      <c r="F955" t="s">
        <v>14</v>
      </c>
      <c r="G955" t="s">
        <v>26</v>
      </c>
      <c r="H955">
        <v>1</v>
      </c>
      <c r="I955">
        <v>12000</v>
      </c>
      <c r="J955">
        <v>12000</v>
      </c>
      <c r="K955">
        <v>9840</v>
      </c>
      <c r="L955">
        <v>2160</v>
      </c>
    </row>
    <row r="956" spans="1:12" x14ac:dyDescent="0.3">
      <c r="A956" t="s">
        <v>2303</v>
      </c>
      <c r="B956" t="s">
        <v>703</v>
      </c>
      <c r="C956" t="s">
        <v>2304</v>
      </c>
      <c r="D956" t="s">
        <v>30</v>
      </c>
      <c r="E956" t="s">
        <v>13</v>
      </c>
      <c r="F956" t="s">
        <v>52</v>
      </c>
      <c r="G956" t="s">
        <v>43</v>
      </c>
      <c r="H956">
        <v>6</v>
      </c>
      <c r="I956">
        <v>12000</v>
      </c>
      <c r="J956">
        <v>72000</v>
      </c>
      <c r="K956">
        <v>59040</v>
      </c>
      <c r="L956">
        <v>12960</v>
      </c>
    </row>
    <row r="957" spans="1:12" x14ac:dyDescent="0.3">
      <c r="A957" t="s">
        <v>2305</v>
      </c>
      <c r="B957" t="s">
        <v>706</v>
      </c>
      <c r="C957" t="s">
        <v>2306</v>
      </c>
      <c r="D957" t="s">
        <v>30</v>
      </c>
      <c r="E957" t="s">
        <v>13</v>
      </c>
      <c r="F957" t="s">
        <v>52</v>
      </c>
      <c r="G957" t="s">
        <v>19</v>
      </c>
      <c r="H957">
        <v>1</v>
      </c>
      <c r="I957">
        <v>12000</v>
      </c>
      <c r="J957">
        <v>12000</v>
      </c>
      <c r="K957">
        <v>9840</v>
      </c>
      <c r="L957">
        <v>2160</v>
      </c>
    </row>
    <row r="958" spans="1:12" x14ac:dyDescent="0.3">
      <c r="A958" t="s">
        <v>2307</v>
      </c>
      <c r="B958" t="s">
        <v>709</v>
      </c>
      <c r="C958" t="s">
        <v>2308</v>
      </c>
      <c r="D958" t="s">
        <v>59</v>
      </c>
      <c r="E958" t="s">
        <v>24</v>
      </c>
      <c r="F958" t="s">
        <v>38</v>
      </c>
      <c r="G958" t="s">
        <v>43</v>
      </c>
      <c r="H958">
        <v>4</v>
      </c>
      <c r="I958">
        <v>1500</v>
      </c>
      <c r="J958">
        <v>6000</v>
      </c>
      <c r="K958">
        <v>4920</v>
      </c>
      <c r="L958">
        <v>1080</v>
      </c>
    </row>
    <row r="959" spans="1:12" x14ac:dyDescent="0.3">
      <c r="A959" t="s">
        <v>2309</v>
      </c>
      <c r="B959" t="s">
        <v>712</v>
      </c>
      <c r="C959" t="s">
        <v>2310</v>
      </c>
      <c r="D959" t="s">
        <v>23</v>
      </c>
      <c r="E959" t="s">
        <v>24</v>
      </c>
      <c r="F959" t="s">
        <v>52</v>
      </c>
      <c r="G959" t="s">
        <v>43</v>
      </c>
      <c r="H959">
        <v>3</v>
      </c>
      <c r="I959">
        <v>800</v>
      </c>
      <c r="J959">
        <v>2400</v>
      </c>
      <c r="K959">
        <v>1967</v>
      </c>
      <c r="L959">
        <v>433</v>
      </c>
    </row>
    <row r="960" spans="1:12" x14ac:dyDescent="0.3">
      <c r="A960" t="s">
        <v>2311</v>
      </c>
      <c r="B960" t="s">
        <v>715</v>
      </c>
      <c r="C960" t="s">
        <v>2312</v>
      </c>
      <c r="D960" t="s">
        <v>106</v>
      </c>
      <c r="E960" t="s">
        <v>107</v>
      </c>
      <c r="F960" t="s">
        <v>38</v>
      </c>
      <c r="G960" t="s">
        <v>84</v>
      </c>
      <c r="H960">
        <v>8</v>
      </c>
      <c r="I960">
        <v>6500</v>
      </c>
      <c r="J960">
        <v>52000</v>
      </c>
      <c r="K960">
        <v>42640</v>
      </c>
      <c r="L960">
        <v>9360</v>
      </c>
    </row>
    <row r="961" spans="1:12" x14ac:dyDescent="0.3">
      <c r="A961" t="s">
        <v>2313</v>
      </c>
      <c r="B961" t="s">
        <v>718</v>
      </c>
      <c r="C961" t="s">
        <v>2314</v>
      </c>
      <c r="D961" t="s">
        <v>59</v>
      </c>
      <c r="E961" t="s">
        <v>24</v>
      </c>
      <c r="F961" t="s">
        <v>38</v>
      </c>
      <c r="G961" t="s">
        <v>43</v>
      </c>
      <c r="H961">
        <v>6</v>
      </c>
      <c r="I961">
        <v>1500</v>
      </c>
      <c r="J961">
        <v>9000</v>
      </c>
      <c r="K961">
        <v>7380</v>
      </c>
      <c r="L961">
        <v>1620</v>
      </c>
    </row>
    <row r="962" spans="1:12" x14ac:dyDescent="0.3">
      <c r="A962" t="s">
        <v>2315</v>
      </c>
      <c r="B962" t="s">
        <v>721</v>
      </c>
      <c r="C962" t="s">
        <v>2316</v>
      </c>
      <c r="D962" t="s">
        <v>30</v>
      </c>
      <c r="E962" t="s">
        <v>13</v>
      </c>
      <c r="F962" t="s">
        <v>25</v>
      </c>
      <c r="G962" t="s">
        <v>84</v>
      </c>
      <c r="H962">
        <v>3</v>
      </c>
      <c r="I962">
        <v>12000</v>
      </c>
      <c r="J962">
        <v>36000</v>
      </c>
      <c r="K962">
        <v>29520</v>
      </c>
      <c r="L962">
        <v>6480</v>
      </c>
    </row>
    <row r="963" spans="1:12" x14ac:dyDescent="0.3">
      <c r="A963" t="s">
        <v>2317</v>
      </c>
      <c r="B963" t="s">
        <v>724</v>
      </c>
      <c r="C963" t="s">
        <v>2318</v>
      </c>
      <c r="D963" t="s">
        <v>50</v>
      </c>
      <c r="E963" t="s">
        <v>51</v>
      </c>
      <c r="F963" t="s">
        <v>25</v>
      </c>
      <c r="G963" t="s">
        <v>43</v>
      </c>
      <c r="H963">
        <v>1</v>
      </c>
      <c r="I963">
        <v>2200</v>
      </c>
      <c r="J963">
        <v>2200</v>
      </c>
      <c r="K963">
        <v>1804</v>
      </c>
      <c r="L963">
        <v>396</v>
      </c>
    </row>
    <row r="964" spans="1:12" x14ac:dyDescent="0.3">
      <c r="A964" t="s">
        <v>2319</v>
      </c>
      <c r="B964" t="s">
        <v>727</v>
      </c>
      <c r="C964" t="s">
        <v>2320</v>
      </c>
      <c r="D964" t="s">
        <v>50</v>
      </c>
      <c r="E964" t="s">
        <v>51</v>
      </c>
      <c r="F964" t="s">
        <v>52</v>
      </c>
      <c r="G964" t="s">
        <v>19</v>
      </c>
      <c r="H964">
        <v>4</v>
      </c>
      <c r="I964">
        <v>2200</v>
      </c>
      <c r="J964">
        <v>8800</v>
      </c>
      <c r="K964">
        <v>7216</v>
      </c>
      <c r="L964">
        <v>1584</v>
      </c>
    </row>
    <row r="965" spans="1:12" x14ac:dyDescent="0.3">
      <c r="A965" t="s">
        <v>2321</v>
      </c>
      <c r="B965" t="s">
        <v>730</v>
      </c>
      <c r="C965" t="s">
        <v>2322</v>
      </c>
      <c r="D965" t="s">
        <v>106</v>
      </c>
      <c r="E965" t="s">
        <v>107</v>
      </c>
      <c r="F965" t="s">
        <v>25</v>
      </c>
      <c r="G965" t="s">
        <v>84</v>
      </c>
      <c r="H965">
        <v>8</v>
      </c>
      <c r="I965">
        <v>6500</v>
      </c>
      <c r="J965">
        <v>52000</v>
      </c>
      <c r="K965">
        <v>42640</v>
      </c>
      <c r="L965">
        <v>9360</v>
      </c>
    </row>
    <row r="966" spans="1:12" x14ac:dyDescent="0.3">
      <c r="A966" t="s">
        <v>2323</v>
      </c>
      <c r="B966" t="s">
        <v>733</v>
      </c>
      <c r="C966" t="s">
        <v>2324</v>
      </c>
      <c r="D966" t="s">
        <v>106</v>
      </c>
      <c r="E966" t="s">
        <v>107</v>
      </c>
      <c r="F966" t="s">
        <v>25</v>
      </c>
      <c r="G966" t="s">
        <v>15</v>
      </c>
      <c r="H966">
        <v>10</v>
      </c>
      <c r="I966">
        <v>6500</v>
      </c>
      <c r="J966">
        <v>65000</v>
      </c>
      <c r="K966">
        <v>53300</v>
      </c>
      <c r="L966">
        <v>11700</v>
      </c>
    </row>
    <row r="967" spans="1:12" x14ac:dyDescent="0.3">
      <c r="A967" t="s">
        <v>2325</v>
      </c>
      <c r="B967" t="s">
        <v>736</v>
      </c>
      <c r="C967" t="s">
        <v>2326</v>
      </c>
      <c r="D967" t="s">
        <v>23</v>
      </c>
      <c r="E967" t="s">
        <v>24</v>
      </c>
      <c r="F967" t="s">
        <v>38</v>
      </c>
      <c r="G967" t="s">
        <v>84</v>
      </c>
      <c r="H967">
        <v>6</v>
      </c>
      <c r="I967">
        <v>800</v>
      </c>
      <c r="J967">
        <v>4800</v>
      </c>
      <c r="K967">
        <v>3935</v>
      </c>
      <c r="L967">
        <v>865</v>
      </c>
    </row>
    <row r="968" spans="1:12" x14ac:dyDescent="0.3">
      <c r="A968" t="s">
        <v>2327</v>
      </c>
      <c r="B968" t="s">
        <v>739</v>
      </c>
      <c r="C968" t="s">
        <v>2328</v>
      </c>
      <c r="D968" t="s">
        <v>23</v>
      </c>
      <c r="E968" t="s">
        <v>24</v>
      </c>
      <c r="F968" t="s">
        <v>52</v>
      </c>
      <c r="G968" t="s">
        <v>84</v>
      </c>
      <c r="H968">
        <v>2</v>
      </c>
      <c r="I968">
        <v>800</v>
      </c>
      <c r="J968">
        <v>1600</v>
      </c>
      <c r="K968">
        <v>1312</v>
      </c>
      <c r="L968">
        <v>288</v>
      </c>
    </row>
    <row r="969" spans="1:12" x14ac:dyDescent="0.3">
      <c r="A969" t="s">
        <v>2329</v>
      </c>
      <c r="B969" t="s">
        <v>742</v>
      </c>
      <c r="C969" t="s">
        <v>2330</v>
      </c>
      <c r="D969" t="s">
        <v>30</v>
      </c>
      <c r="E969" t="s">
        <v>13</v>
      </c>
      <c r="F969" t="s">
        <v>14</v>
      </c>
      <c r="G969" t="s">
        <v>19</v>
      </c>
      <c r="H969">
        <v>9</v>
      </c>
      <c r="I969">
        <v>12000</v>
      </c>
      <c r="J969">
        <v>108000</v>
      </c>
      <c r="K969">
        <v>88560</v>
      </c>
      <c r="L969">
        <v>19440</v>
      </c>
    </row>
    <row r="970" spans="1:12" x14ac:dyDescent="0.3">
      <c r="A970" t="s">
        <v>2331</v>
      </c>
      <c r="B970" t="s">
        <v>745</v>
      </c>
      <c r="C970" t="s">
        <v>2332</v>
      </c>
      <c r="D970" t="s">
        <v>50</v>
      </c>
      <c r="E970" t="s">
        <v>51</v>
      </c>
      <c r="F970" t="s">
        <v>38</v>
      </c>
      <c r="G970" t="s">
        <v>84</v>
      </c>
      <c r="H970">
        <v>10</v>
      </c>
      <c r="I970">
        <v>2200</v>
      </c>
      <c r="J970">
        <v>22000</v>
      </c>
      <c r="K970">
        <v>18040</v>
      </c>
      <c r="L970">
        <v>3960</v>
      </c>
    </row>
    <row r="971" spans="1:12" x14ac:dyDescent="0.3">
      <c r="A971" t="s">
        <v>2333</v>
      </c>
      <c r="B971" t="s">
        <v>748</v>
      </c>
      <c r="C971" t="s">
        <v>2334</v>
      </c>
      <c r="D971" t="s">
        <v>30</v>
      </c>
      <c r="E971" t="s">
        <v>13</v>
      </c>
      <c r="F971" t="s">
        <v>38</v>
      </c>
      <c r="G971" t="s">
        <v>84</v>
      </c>
      <c r="H971">
        <v>9</v>
      </c>
      <c r="I971">
        <v>12000</v>
      </c>
      <c r="J971">
        <v>108000</v>
      </c>
      <c r="K971">
        <v>88560</v>
      </c>
      <c r="L971">
        <v>19440</v>
      </c>
    </row>
    <row r="972" spans="1:12" x14ac:dyDescent="0.3">
      <c r="A972" t="s">
        <v>2335</v>
      </c>
      <c r="B972" t="s">
        <v>751</v>
      </c>
      <c r="C972" t="s">
        <v>2336</v>
      </c>
      <c r="D972" t="s">
        <v>59</v>
      </c>
      <c r="E972" t="s">
        <v>24</v>
      </c>
      <c r="F972" t="s">
        <v>25</v>
      </c>
      <c r="G972" t="s">
        <v>43</v>
      </c>
      <c r="H972">
        <v>4</v>
      </c>
      <c r="I972">
        <v>1500</v>
      </c>
      <c r="J972">
        <v>6000</v>
      </c>
      <c r="K972">
        <v>4920</v>
      </c>
      <c r="L972">
        <v>1080</v>
      </c>
    </row>
    <row r="973" spans="1:12" x14ac:dyDescent="0.3">
      <c r="A973" t="s">
        <v>2337</v>
      </c>
      <c r="B973" t="s">
        <v>754</v>
      </c>
      <c r="C973" t="s">
        <v>2338</v>
      </c>
      <c r="D973" t="s">
        <v>50</v>
      </c>
      <c r="E973" t="s">
        <v>51</v>
      </c>
      <c r="F973" t="s">
        <v>52</v>
      </c>
      <c r="G973" t="s">
        <v>15</v>
      </c>
      <c r="H973">
        <v>2</v>
      </c>
      <c r="I973">
        <v>2200</v>
      </c>
      <c r="J973">
        <v>4400</v>
      </c>
      <c r="K973">
        <v>3608</v>
      </c>
      <c r="L973">
        <v>792</v>
      </c>
    </row>
    <row r="974" spans="1:12" x14ac:dyDescent="0.3">
      <c r="A974" t="s">
        <v>2339</v>
      </c>
      <c r="B974" t="s">
        <v>757</v>
      </c>
      <c r="C974" t="s">
        <v>2340</v>
      </c>
      <c r="D974" t="s">
        <v>12</v>
      </c>
      <c r="E974" t="s">
        <v>13</v>
      </c>
      <c r="F974" t="s">
        <v>25</v>
      </c>
      <c r="G974" t="s">
        <v>15</v>
      </c>
      <c r="H974">
        <v>5</v>
      </c>
      <c r="I974">
        <v>50000</v>
      </c>
      <c r="J974">
        <v>250000</v>
      </c>
      <c r="K974">
        <v>205000</v>
      </c>
      <c r="L974">
        <v>45000</v>
      </c>
    </row>
    <row r="975" spans="1:12" x14ac:dyDescent="0.3">
      <c r="A975" t="s">
        <v>2341</v>
      </c>
      <c r="B975" t="s">
        <v>760</v>
      </c>
      <c r="C975" t="s">
        <v>2342</v>
      </c>
      <c r="D975" t="s">
        <v>30</v>
      </c>
      <c r="E975" t="s">
        <v>13</v>
      </c>
      <c r="F975" t="s">
        <v>14</v>
      </c>
      <c r="G975" t="s">
        <v>19</v>
      </c>
      <c r="H975">
        <v>1</v>
      </c>
      <c r="I975">
        <v>12000</v>
      </c>
      <c r="J975">
        <v>12000</v>
      </c>
      <c r="K975">
        <v>9840</v>
      </c>
      <c r="L975">
        <v>2160</v>
      </c>
    </row>
    <row r="976" spans="1:12" x14ac:dyDescent="0.3">
      <c r="A976" t="s">
        <v>2343</v>
      </c>
      <c r="B976" t="s">
        <v>763</v>
      </c>
      <c r="C976" t="s">
        <v>2344</v>
      </c>
      <c r="D976" t="s">
        <v>23</v>
      </c>
      <c r="E976" t="s">
        <v>24</v>
      </c>
      <c r="F976" t="s">
        <v>25</v>
      </c>
      <c r="G976" t="s">
        <v>26</v>
      </c>
      <c r="H976">
        <v>2</v>
      </c>
      <c r="I976">
        <v>800</v>
      </c>
      <c r="J976">
        <v>1600</v>
      </c>
      <c r="K976">
        <v>1312</v>
      </c>
      <c r="L976">
        <v>288</v>
      </c>
    </row>
    <row r="977" spans="1:12" x14ac:dyDescent="0.3">
      <c r="A977" t="s">
        <v>2345</v>
      </c>
      <c r="B977" t="s">
        <v>766</v>
      </c>
      <c r="C977" t="s">
        <v>2346</v>
      </c>
      <c r="D977" t="s">
        <v>42</v>
      </c>
      <c r="E977" t="s">
        <v>13</v>
      </c>
      <c r="F977" t="s">
        <v>38</v>
      </c>
      <c r="G977" t="s">
        <v>19</v>
      </c>
      <c r="H977">
        <v>4</v>
      </c>
      <c r="I977">
        <v>15000</v>
      </c>
      <c r="J977">
        <v>60000</v>
      </c>
      <c r="K977">
        <v>49200</v>
      </c>
      <c r="L977">
        <v>10800</v>
      </c>
    </row>
    <row r="978" spans="1:12" x14ac:dyDescent="0.3">
      <c r="A978" t="s">
        <v>2347</v>
      </c>
      <c r="B978" t="s">
        <v>769</v>
      </c>
      <c r="C978" t="s">
        <v>2348</v>
      </c>
      <c r="D978" t="s">
        <v>34</v>
      </c>
      <c r="E978" t="s">
        <v>24</v>
      </c>
      <c r="F978" t="s">
        <v>52</v>
      </c>
      <c r="G978" t="s">
        <v>19</v>
      </c>
      <c r="H978">
        <v>9</v>
      </c>
      <c r="I978">
        <v>3000</v>
      </c>
      <c r="J978">
        <v>27000</v>
      </c>
      <c r="K978">
        <v>22140</v>
      </c>
      <c r="L978">
        <v>4860</v>
      </c>
    </row>
    <row r="979" spans="1:12" x14ac:dyDescent="0.3">
      <c r="A979" t="s">
        <v>2349</v>
      </c>
      <c r="B979" t="s">
        <v>772</v>
      </c>
      <c r="C979" t="s">
        <v>2350</v>
      </c>
      <c r="D979" t="s">
        <v>42</v>
      </c>
      <c r="E979" t="s">
        <v>13</v>
      </c>
      <c r="F979" t="s">
        <v>14</v>
      </c>
      <c r="G979" t="s">
        <v>43</v>
      </c>
      <c r="H979">
        <v>5</v>
      </c>
      <c r="I979">
        <v>15000</v>
      </c>
      <c r="J979">
        <v>75000</v>
      </c>
      <c r="K979">
        <v>61499</v>
      </c>
      <c r="L979">
        <v>13501</v>
      </c>
    </row>
    <row r="980" spans="1:12" x14ac:dyDescent="0.3">
      <c r="A980" t="s">
        <v>2351</v>
      </c>
      <c r="B980" t="s">
        <v>775</v>
      </c>
      <c r="C980" t="s">
        <v>2352</v>
      </c>
      <c r="D980" t="s">
        <v>50</v>
      </c>
      <c r="E980" t="s">
        <v>51</v>
      </c>
      <c r="F980" t="s">
        <v>52</v>
      </c>
      <c r="G980" t="s">
        <v>19</v>
      </c>
      <c r="H980">
        <v>10</v>
      </c>
      <c r="I980">
        <v>2200</v>
      </c>
      <c r="J980">
        <v>22000</v>
      </c>
      <c r="K980">
        <v>18040</v>
      </c>
      <c r="L980">
        <v>3960</v>
      </c>
    </row>
    <row r="981" spans="1:12" x14ac:dyDescent="0.3">
      <c r="A981" t="s">
        <v>2353</v>
      </c>
      <c r="B981" t="s">
        <v>778</v>
      </c>
      <c r="C981" t="s">
        <v>2354</v>
      </c>
      <c r="D981" t="s">
        <v>106</v>
      </c>
      <c r="E981" t="s">
        <v>107</v>
      </c>
      <c r="F981" t="s">
        <v>25</v>
      </c>
      <c r="G981" t="s">
        <v>84</v>
      </c>
      <c r="H981">
        <v>10</v>
      </c>
      <c r="I981">
        <v>6500</v>
      </c>
      <c r="J981">
        <v>65000</v>
      </c>
      <c r="K981">
        <v>53300</v>
      </c>
      <c r="L981">
        <v>11700</v>
      </c>
    </row>
    <row r="982" spans="1:12" x14ac:dyDescent="0.3">
      <c r="A982" t="s">
        <v>2355</v>
      </c>
      <c r="B982" t="s">
        <v>781</v>
      </c>
      <c r="C982" t="s">
        <v>2356</v>
      </c>
      <c r="D982" t="s">
        <v>59</v>
      </c>
      <c r="E982" t="s">
        <v>24</v>
      </c>
      <c r="F982" t="s">
        <v>25</v>
      </c>
      <c r="G982" t="s">
        <v>15</v>
      </c>
      <c r="H982">
        <v>1</v>
      </c>
      <c r="I982">
        <v>1500</v>
      </c>
      <c r="J982">
        <v>1500</v>
      </c>
      <c r="K982">
        <v>1230</v>
      </c>
      <c r="L982">
        <v>270</v>
      </c>
    </row>
    <row r="983" spans="1:12" x14ac:dyDescent="0.3">
      <c r="A983" t="s">
        <v>2357</v>
      </c>
      <c r="B983" t="s">
        <v>784</v>
      </c>
      <c r="C983" t="s">
        <v>2358</v>
      </c>
      <c r="D983" t="s">
        <v>106</v>
      </c>
      <c r="E983" t="s">
        <v>107</v>
      </c>
      <c r="F983" t="s">
        <v>25</v>
      </c>
      <c r="G983" t="s">
        <v>43</v>
      </c>
      <c r="H983">
        <v>7</v>
      </c>
      <c r="I983">
        <v>6500</v>
      </c>
      <c r="J983">
        <v>45500</v>
      </c>
      <c r="K983">
        <v>37310</v>
      </c>
      <c r="L983">
        <v>8190</v>
      </c>
    </row>
    <row r="984" spans="1:12" x14ac:dyDescent="0.3">
      <c r="A984" t="s">
        <v>2359</v>
      </c>
      <c r="B984" t="s">
        <v>787</v>
      </c>
      <c r="C984" t="s">
        <v>2360</v>
      </c>
      <c r="D984" t="s">
        <v>59</v>
      </c>
      <c r="E984" t="s">
        <v>24</v>
      </c>
      <c r="F984" t="s">
        <v>52</v>
      </c>
      <c r="G984" t="s">
        <v>19</v>
      </c>
      <c r="H984">
        <v>5</v>
      </c>
      <c r="I984">
        <v>1500</v>
      </c>
      <c r="J984">
        <v>7500</v>
      </c>
      <c r="K984">
        <v>6150</v>
      </c>
      <c r="L984">
        <v>1350</v>
      </c>
    </row>
    <row r="985" spans="1:12" x14ac:dyDescent="0.3">
      <c r="A985" t="s">
        <v>2361</v>
      </c>
      <c r="B985" t="s">
        <v>790</v>
      </c>
      <c r="C985" t="s">
        <v>2362</v>
      </c>
      <c r="D985" t="s">
        <v>59</v>
      </c>
      <c r="E985" t="s">
        <v>24</v>
      </c>
      <c r="F985" t="s">
        <v>52</v>
      </c>
      <c r="G985" t="s">
        <v>15</v>
      </c>
      <c r="H985">
        <v>4</v>
      </c>
      <c r="I985">
        <v>1500</v>
      </c>
      <c r="J985">
        <v>6000</v>
      </c>
      <c r="K985">
        <v>4920</v>
      </c>
      <c r="L985">
        <v>1080</v>
      </c>
    </row>
    <row r="986" spans="1:12" x14ac:dyDescent="0.3">
      <c r="A986" t="s">
        <v>2363</v>
      </c>
      <c r="B986" t="s">
        <v>793</v>
      </c>
      <c r="C986" t="s">
        <v>2364</v>
      </c>
      <c r="D986" t="s">
        <v>42</v>
      </c>
      <c r="E986" t="s">
        <v>13</v>
      </c>
      <c r="F986" t="s">
        <v>52</v>
      </c>
      <c r="G986" t="s">
        <v>26</v>
      </c>
      <c r="H986">
        <v>9</v>
      </c>
      <c r="I986">
        <v>15000</v>
      </c>
      <c r="J986">
        <v>135000</v>
      </c>
      <c r="K986">
        <v>110700</v>
      </c>
      <c r="L986">
        <v>24300</v>
      </c>
    </row>
    <row r="987" spans="1:12" x14ac:dyDescent="0.3">
      <c r="A987" t="s">
        <v>2365</v>
      </c>
      <c r="B987" t="s">
        <v>796</v>
      </c>
      <c r="C987" t="s">
        <v>2366</v>
      </c>
      <c r="D987" t="s">
        <v>23</v>
      </c>
      <c r="E987" t="s">
        <v>24</v>
      </c>
      <c r="F987" t="s">
        <v>52</v>
      </c>
      <c r="G987" t="s">
        <v>26</v>
      </c>
      <c r="H987">
        <v>1</v>
      </c>
      <c r="I987">
        <v>800</v>
      </c>
      <c r="J987">
        <v>800</v>
      </c>
      <c r="K987">
        <v>656</v>
      </c>
      <c r="L987">
        <v>144</v>
      </c>
    </row>
    <row r="988" spans="1:12" x14ac:dyDescent="0.3">
      <c r="A988" t="s">
        <v>2367</v>
      </c>
      <c r="B988" t="s">
        <v>799</v>
      </c>
      <c r="C988" t="s">
        <v>2368</v>
      </c>
      <c r="D988" t="s">
        <v>30</v>
      </c>
      <c r="E988" t="s">
        <v>13</v>
      </c>
      <c r="F988" t="s">
        <v>52</v>
      </c>
      <c r="G988" t="s">
        <v>43</v>
      </c>
      <c r="H988">
        <v>2</v>
      </c>
      <c r="I988">
        <v>12000</v>
      </c>
      <c r="J988">
        <v>24000</v>
      </c>
      <c r="K988">
        <v>19680</v>
      </c>
      <c r="L988">
        <v>4320</v>
      </c>
    </row>
    <row r="989" spans="1:12" x14ac:dyDescent="0.3">
      <c r="A989" t="s">
        <v>2369</v>
      </c>
      <c r="B989" t="s">
        <v>802</v>
      </c>
      <c r="C989" t="s">
        <v>2370</v>
      </c>
      <c r="D989" t="s">
        <v>12</v>
      </c>
      <c r="E989" t="s">
        <v>13</v>
      </c>
      <c r="F989" t="s">
        <v>38</v>
      </c>
      <c r="G989" t="s">
        <v>15</v>
      </c>
      <c r="H989">
        <v>8</v>
      </c>
      <c r="I989">
        <v>50000</v>
      </c>
      <c r="J989">
        <v>400000</v>
      </c>
      <c r="K989">
        <v>328000</v>
      </c>
      <c r="L989">
        <v>72000</v>
      </c>
    </row>
    <row r="990" spans="1:12" x14ac:dyDescent="0.3">
      <c r="A990" t="s">
        <v>2371</v>
      </c>
      <c r="B990" t="s">
        <v>805</v>
      </c>
      <c r="C990" t="s">
        <v>2372</v>
      </c>
      <c r="D990" t="s">
        <v>34</v>
      </c>
      <c r="E990" t="s">
        <v>24</v>
      </c>
      <c r="F990" t="s">
        <v>14</v>
      </c>
      <c r="G990" t="s">
        <v>43</v>
      </c>
      <c r="H990">
        <v>7</v>
      </c>
      <c r="I990">
        <v>3000</v>
      </c>
      <c r="J990">
        <v>21000</v>
      </c>
      <c r="K990">
        <v>17220</v>
      </c>
      <c r="L990">
        <v>3780</v>
      </c>
    </row>
    <row r="991" spans="1:12" x14ac:dyDescent="0.3">
      <c r="A991" t="s">
        <v>2373</v>
      </c>
      <c r="B991" t="s">
        <v>808</v>
      </c>
      <c r="C991" t="s">
        <v>2374</v>
      </c>
      <c r="D991" t="s">
        <v>12</v>
      </c>
      <c r="E991" t="s">
        <v>13</v>
      </c>
      <c r="F991" t="s">
        <v>25</v>
      </c>
      <c r="G991" t="s">
        <v>19</v>
      </c>
      <c r="H991">
        <v>10</v>
      </c>
      <c r="I991">
        <v>50000</v>
      </c>
      <c r="J991">
        <v>500000</v>
      </c>
      <c r="K991">
        <v>410000</v>
      </c>
      <c r="L991">
        <v>90000</v>
      </c>
    </row>
    <row r="992" spans="1:12" x14ac:dyDescent="0.3">
      <c r="A992" t="s">
        <v>2375</v>
      </c>
      <c r="B992" t="s">
        <v>811</v>
      </c>
      <c r="C992" t="s">
        <v>2376</v>
      </c>
      <c r="D992" t="s">
        <v>42</v>
      </c>
      <c r="E992" t="s">
        <v>13</v>
      </c>
      <c r="F992" t="s">
        <v>38</v>
      </c>
      <c r="G992" t="s">
        <v>15</v>
      </c>
      <c r="H992">
        <v>10</v>
      </c>
      <c r="I992">
        <v>15000</v>
      </c>
      <c r="J992">
        <v>150000</v>
      </c>
      <c r="K992">
        <v>122999</v>
      </c>
      <c r="L992">
        <v>27001</v>
      </c>
    </row>
    <row r="993" spans="1:12" x14ac:dyDescent="0.3">
      <c r="A993" t="s">
        <v>2377</v>
      </c>
      <c r="B993" t="s">
        <v>814</v>
      </c>
      <c r="C993" t="s">
        <v>2378</v>
      </c>
      <c r="D993" t="s">
        <v>42</v>
      </c>
      <c r="E993" t="s">
        <v>13</v>
      </c>
      <c r="F993" t="s">
        <v>38</v>
      </c>
      <c r="G993" t="s">
        <v>84</v>
      </c>
      <c r="H993">
        <v>1</v>
      </c>
      <c r="I993">
        <v>15000</v>
      </c>
      <c r="J993">
        <v>15000</v>
      </c>
      <c r="K993">
        <v>12300</v>
      </c>
      <c r="L993">
        <v>2700</v>
      </c>
    </row>
    <row r="994" spans="1:12" x14ac:dyDescent="0.3">
      <c r="A994" t="s">
        <v>2379</v>
      </c>
      <c r="B994" t="s">
        <v>817</v>
      </c>
      <c r="C994" t="s">
        <v>2380</v>
      </c>
      <c r="D994" t="s">
        <v>12</v>
      </c>
      <c r="E994" t="s">
        <v>13</v>
      </c>
      <c r="F994" t="s">
        <v>25</v>
      </c>
      <c r="G994" t="s">
        <v>19</v>
      </c>
      <c r="H994">
        <v>10</v>
      </c>
      <c r="I994">
        <v>50000</v>
      </c>
      <c r="J994">
        <v>500000</v>
      </c>
      <c r="K994">
        <v>410000</v>
      </c>
      <c r="L994">
        <v>90000</v>
      </c>
    </row>
    <row r="995" spans="1:12" x14ac:dyDescent="0.3">
      <c r="A995" t="s">
        <v>2381</v>
      </c>
      <c r="B995" t="s">
        <v>820</v>
      </c>
      <c r="C995" t="s">
        <v>2382</v>
      </c>
      <c r="D995" t="s">
        <v>42</v>
      </c>
      <c r="E995" t="s">
        <v>13</v>
      </c>
      <c r="F995" t="s">
        <v>14</v>
      </c>
      <c r="G995" t="s">
        <v>19</v>
      </c>
      <c r="H995">
        <v>2</v>
      </c>
      <c r="I995">
        <v>15000</v>
      </c>
      <c r="J995">
        <v>30000</v>
      </c>
      <c r="K995">
        <v>24600</v>
      </c>
      <c r="L995">
        <v>5400</v>
      </c>
    </row>
    <row r="996" spans="1:12" x14ac:dyDescent="0.3">
      <c r="A996" t="s">
        <v>2383</v>
      </c>
      <c r="B996" t="s">
        <v>823</v>
      </c>
      <c r="C996" t="s">
        <v>2384</v>
      </c>
      <c r="D996" t="s">
        <v>106</v>
      </c>
      <c r="E996" t="s">
        <v>107</v>
      </c>
      <c r="F996" t="s">
        <v>25</v>
      </c>
      <c r="G996" t="s">
        <v>43</v>
      </c>
      <c r="H996">
        <v>7</v>
      </c>
      <c r="I996">
        <v>6500</v>
      </c>
      <c r="J996">
        <v>45500</v>
      </c>
      <c r="K996">
        <v>37310</v>
      </c>
      <c r="L996">
        <v>8190</v>
      </c>
    </row>
    <row r="997" spans="1:12" x14ac:dyDescent="0.3">
      <c r="A997" t="s">
        <v>2385</v>
      </c>
      <c r="B997" t="s">
        <v>826</v>
      </c>
      <c r="C997" t="s">
        <v>2386</v>
      </c>
      <c r="D997" t="s">
        <v>34</v>
      </c>
      <c r="E997" t="s">
        <v>24</v>
      </c>
      <c r="F997" t="s">
        <v>25</v>
      </c>
      <c r="G997" t="s">
        <v>26</v>
      </c>
      <c r="H997">
        <v>8</v>
      </c>
      <c r="I997">
        <v>3000</v>
      </c>
      <c r="J997">
        <v>24000</v>
      </c>
      <c r="K997">
        <v>19680</v>
      </c>
      <c r="L997">
        <v>4320</v>
      </c>
    </row>
    <row r="998" spans="1:12" x14ac:dyDescent="0.3">
      <c r="A998" t="s">
        <v>2387</v>
      </c>
      <c r="B998" t="s">
        <v>829</v>
      </c>
      <c r="C998" t="s">
        <v>2388</v>
      </c>
      <c r="D998" t="s">
        <v>50</v>
      </c>
      <c r="E998" t="s">
        <v>51</v>
      </c>
      <c r="F998" t="s">
        <v>25</v>
      </c>
      <c r="G998" t="s">
        <v>26</v>
      </c>
      <c r="H998">
        <v>7</v>
      </c>
      <c r="I998">
        <v>2200</v>
      </c>
      <c r="J998">
        <v>15400</v>
      </c>
      <c r="K998">
        <v>12628</v>
      </c>
      <c r="L998">
        <v>2772</v>
      </c>
    </row>
    <row r="999" spans="1:12" x14ac:dyDescent="0.3">
      <c r="A999" t="s">
        <v>2389</v>
      </c>
      <c r="B999" t="s">
        <v>832</v>
      </c>
      <c r="C999" t="s">
        <v>2390</v>
      </c>
      <c r="D999" t="s">
        <v>12</v>
      </c>
      <c r="E999" t="s">
        <v>13</v>
      </c>
      <c r="F999" t="s">
        <v>38</v>
      </c>
      <c r="G999" t="s">
        <v>19</v>
      </c>
      <c r="H999">
        <v>1</v>
      </c>
      <c r="I999">
        <v>50000</v>
      </c>
      <c r="J999">
        <v>50000</v>
      </c>
      <c r="K999">
        <v>41000</v>
      </c>
      <c r="L999">
        <v>9000</v>
      </c>
    </row>
    <row r="1000" spans="1:12" x14ac:dyDescent="0.3">
      <c r="A1000" t="s">
        <v>2391</v>
      </c>
      <c r="B1000" t="s">
        <v>835</v>
      </c>
      <c r="C1000" t="s">
        <v>2392</v>
      </c>
      <c r="D1000" t="s">
        <v>59</v>
      </c>
      <c r="E1000" t="s">
        <v>24</v>
      </c>
      <c r="F1000" t="s">
        <v>25</v>
      </c>
      <c r="G1000" t="s">
        <v>19</v>
      </c>
      <c r="H1000">
        <v>7</v>
      </c>
      <c r="I1000">
        <v>1500</v>
      </c>
      <c r="J1000">
        <v>10500</v>
      </c>
      <c r="K1000">
        <v>8610</v>
      </c>
      <c r="L1000">
        <v>1890</v>
      </c>
    </row>
    <row r="1001" spans="1:12" x14ac:dyDescent="0.3">
      <c r="A1001" t="s">
        <v>2393</v>
      </c>
      <c r="B1001" t="s">
        <v>838</v>
      </c>
      <c r="C1001" t="s">
        <v>2394</v>
      </c>
      <c r="D1001" t="s">
        <v>12</v>
      </c>
      <c r="E1001" t="s">
        <v>13</v>
      </c>
      <c r="F1001" t="s">
        <v>25</v>
      </c>
      <c r="G1001" t="s">
        <v>19</v>
      </c>
      <c r="H1001">
        <v>4</v>
      </c>
      <c r="I1001">
        <v>50000</v>
      </c>
      <c r="J1001">
        <v>200000</v>
      </c>
      <c r="K1001">
        <v>164000</v>
      </c>
      <c r="L1001">
        <v>36000</v>
      </c>
    </row>
  </sheetData>
  <phoneticPr fontId="2" type="noConversion"/>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C3DEF-1833-4820-8711-510554362883}">
  <dimension ref="A3:B8"/>
  <sheetViews>
    <sheetView workbookViewId="0">
      <selection activeCell="N5" sqref="N5"/>
    </sheetView>
  </sheetViews>
  <sheetFormatPr defaultRowHeight="14.4" x14ac:dyDescent="0.3"/>
  <cols>
    <col min="1" max="1" width="12.5546875" bestFit="1" customWidth="1"/>
    <col min="2" max="2" width="11.6640625" bestFit="1" customWidth="1"/>
  </cols>
  <sheetData>
    <row r="3" spans="1:2" x14ac:dyDescent="0.3">
      <c r="A3" s="2" t="s">
        <v>2406</v>
      </c>
      <c r="B3" t="s">
        <v>2408</v>
      </c>
    </row>
    <row r="4" spans="1:2" x14ac:dyDescent="0.3">
      <c r="A4" s="3" t="s">
        <v>24</v>
      </c>
      <c r="B4">
        <v>3547100</v>
      </c>
    </row>
    <row r="5" spans="1:2" x14ac:dyDescent="0.3">
      <c r="A5" s="3" t="s">
        <v>13</v>
      </c>
      <c r="B5">
        <v>55768000</v>
      </c>
    </row>
    <row r="6" spans="1:2" x14ac:dyDescent="0.3">
      <c r="A6" s="3" t="s">
        <v>51</v>
      </c>
      <c r="B6">
        <v>1414600</v>
      </c>
    </row>
    <row r="7" spans="1:2" x14ac:dyDescent="0.3">
      <c r="A7" s="3" t="s">
        <v>107</v>
      </c>
      <c r="B7">
        <v>4316000</v>
      </c>
    </row>
    <row r="8" spans="1:2" x14ac:dyDescent="0.3">
      <c r="A8" s="3" t="s">
        <v>2407</v>
      </c>
      <c r="B8">
        <v>65045700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A9D2D-D6AF-46AC-A6DE-7A6A5C8D9B65}">
  <dimension ref="A3:B23"/>
  <sheetViews>
    <sheetView workbookViewId="0">
      <selection activeCell="O22" sqref="O22"/>
    </sheetView>
  </sheetViews>
  <sheetFormatPr defaultRowHeight="14.4" x14ac:dyDescent="0.3"/>
  <cols>
    <col min="1" max="1" width="12.5546875" bestFit="1" customWidth="1"/>
    <col min="2" max="2" width="11.6640625" bestFit="1" customWidth="1"/>
  </cols>
  <sheetData>
    <row r="3" spans="1:2" x14ac:dyDescent="0.3">
      <c r="A3" s="2" t="s">
        <v>2406</v>
      </c>
      <c r="B3" t="s">
        <v>2408</v>
      </c>
    </row>
    <row r="4" spans="1:2" x14ac:dyDescent="0.3">
      <c r="A4" s="3" t="s">
        <v>133</v>
      </c>
      <c r="B4">
        <v>7500</v>
      </c>
    </row>
    <row r="5" spans="1:2" x14ac:dyDescent="0.3">
      <c r="A5" s="3" t="s">
        <v>313</v>
      </c>
      <c r="B5">
        <v>9000</v>
      </c>
    </row>
    <row r="6" spans="1:2" x14ac:dyDescent="0.3">
      <c r="A6" s="3" t="s">
        <v>403</v>
      </c>
      <c r="B6">
        <v>3200</v>
      </c>
    </row>
    <row r="7" spans="1:2" x14ac:dyDescent="0.3">
      <c r="A7" s="3" t="s">
        <v>409</v>
      </c>
      <c r="B7">
        <v>4000</v>
      </c>
    </row>
    <row r="8" spans="1:2" x14ac:dyDescent="0.3">
      <c r="A8" s="3" t="s">
        <v>229</v>
      </c>
      <c r="B8">
        <v>24000</v>
      </c>
    </row>
    <row r="9" spans="1:2" x14ac:dyDescent="0.3">
      <c r="A9" s="3" t="s">
        <v>595</v>
      </c>
      <c r="B9">
        <v>15000</v>
      </c>
    </row>
    <row r="10" spans="1:2" x14ac:dyDescent="0.3">
      <c r="A10" s="3" t="s">
        <v>691</v>
      </c>
      <c r="B10">
        <v>12000</v>
      </c>
    </row>
    <row r="11" spans="1:2" x14ac:dyDescent="0.3">
      <c r="A11" s="3" t="s">
        <v>241</v>
      </c>
      <c r="B11">
        <v>6000</v>
      </c>
    </row>
    <row r="12" spans="1:2" x14ac:dyDescent="0.3">
      <c r="A12" s="3" t="s">
        <v>709</v>
      </c>
      <c r="B12">
        <v>6000</v>
      </c>
    </row>
    <row r="13" spans="1:2" x14ac:dyDescent="0.3">
      <c r="A13" s="3" t="s">
        <v>73</v>
      </c>
      <c r="B13">
        <v>1600</v>
      </c>
    </row>
    <row r="14" spans="1:2" x14ac:dyDescent="0.3">
      <c r="A14" s="3" t="s">
        <v>718</v>
      </c>
      <c r="B14">
        <v>9000</v>
      </c>
    </row>
    <row r="15" spans="1:2" x14ac:dyDescent="0.3">
      <c r="A15" s="3" t="s">
        <v>1000</v>
      </c>
      <c r="B15">
        <v>18000</v>
      </c>
    </row>
    <row r="16" spans="1:2" x14ac:dyDescent="0.3">
      <c r="A16" s="3" t="s">
        <v>268</v>
      </c>
      <c r="B16">
        <v>800</v>
      </c>
    </row>
    <row r="17" spans="1:2" x14ac:dyDescent="0.3">
      <c r="A17" s="3" t="s">
        <v>640</v>
      </c>
      <c r="B17">
        <v>18000</v>
      </c>
    </row>
    <row r="18" spans="1:2" x14ac:dyDescent="0.3">
      <c r="A18" s="3" t="s">
        <v>919</v>
      </c>
      <c r="B18">
        <v>800</v>
      </c>
    </row>
    <row r="19" spans="1:2" x14ac:dyDescent="0.3">
      <c r="A19" s="3" t="s">
        <v>373</v>
      </c>
      <c r="B19">
        <v>22500</v>
      </c>
    </row>
    <row r="20" spans="1:2" x14ac:dyDescent="0.3">
      <c r="A20" s="3" t="s">
        <v>646</v>
      </c>
      <c r="B20">
        <v>9000</v>
      </c>
    </row>
    <row r="21" spans="1:2" x14ac:dyDescent="0.3">
      <c r="A21" s="3" t="s">
        <v>562</v>
      </c>
      <c r="B21">
        <v>6400</v>
      </c>
    </row>
    <row r="22" spans="1:2" x14ac:dyDescent="0.3">
      <c r="A22" s="3" t="s">
        <v>481</v>
      </c>
      <c r="B22">
        <v>7200</v>
      </c>
    </row>
    <row r="23" spans="1:2" x14ac:dyDescent="0.3">
      <c r="A23" s="3" t="s">
        <v>2407</v>
      </c>
      <c r="B23">
        <v>180000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PT_PRODUCT</vt:lpstr>
      <vt:lpstr>PT_PROFIT</vt:lpstr>
      <vt:lpstr>PT_SALESPERSON</vt:lpstr>
      <vt:lpstr>PT_REGION</vt:lpstr>
      <vt:lpstr>DASHBOARD</vt:lpstr>
      <vt:lpstr>SALES_DATA</vt:lpstr>
      <vt:lpstr>PT _CATEGORY</vt:lpstr>
      <vt:lpstr>PT_DAY-WISE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Manasa Gudise</cp:lastModifiedBy>
  <dcterms:created xsi:type="dcterms:W3CDTF">2026-07-17T09:55:27Z</dcterms:created>
  <dcterms:modified xsi:type="dcterms:W3CDTF">2026-08-15T17:22:55Z</dcterms:modified>
</cp:coreProperties>
</file>